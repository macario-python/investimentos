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enat\Desktop\INVESTIMENTOS\"/>
    </mc:Choice>
  </mc:AlternateContent>
  <xr:revisionPtr revIDLastSave="0" documentId="13_ncr:1_{330BDC01-C74F-44A6-AF0F-AA10CA0BA131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Preços Crypto" sheetId="1" r:id="rId1"/>
    <sheet name="Small Caps" sheetId="2" r:id="rId2"/>
    <sheet name="Análise DCA" sheetId="5" r:id="rId3"/>
    <sheet name="Análise Cryptos" sheetId="8" r:id="rId4"/>
    <sheet name="Carteira" sheetId="10" r:id="rId5"/>
    <sheet name="Histórico Compras" sheetId="1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2" l="1"/>
  <c r="G6" i="12"/>
  <c r="H6" i="12"/>
  <c r="G5" i="12"/>
  <c r="H5" i="12"/>
  <c r="F41" i="12"/>
  <c r="J41" i="12"/>
  <c r="C41" i="12"/>
  <c r="G20" i="10"/>
  <c r="G19" i="10"/>
  <c r="G18" i="10"/>
  <c r="G17" i="10"/>
  <c r="G16" i="10"/>
  <c r="G21" i="10"/>
  <c r="D41" i="12"/>
  <c r="D11" i="2"/>
  <c r="H21" i="10" s="1"/>
  <c r="J40" i="12"/>
  <c r="D40" i="12"/>
  <c r="I40" i="12" s="1"/>
  <c r="C40" i="12"/>
  <c r="G40" i="12" s="1"/>
  <c r="J39" i="12"/>
  <c r="D39" i="12"/>
  <c r="I39" i="12" s="1"/>
  <c r="C39" i="12"/>
  <c r="H39" i="12" s="1"/>
  <c r="J38" i="12"/>
  <c r="D38" i="12"/>
  <c r="I38" i="12" s="1"/>
  <c r="C38" i="12"/>
  <c r="H38" i="12" s="1"/>
  <c r="J37" i="12"/>
  <c r="D37" i="12"/>
  <c r="I37" i="12" s="1"/>
  <c r="C37" i="12"/>
  <c r="H37" i="12" s="1"/>
  <c r="J36" i="12"/>
  <c r="C36" i="12"/>
  <c r="J35" i="12"/>
  <c r="D35" i="12"/>
  <c r="I35" i="12" s="1"/>
  <c r="C35" i="12"/>
  <c r="H35" i="12" s="1"/>
  <c r="J34" i="12"/>
  <c r="D34" i="12"/>
  <c r="I34" i="12" s="1"/>
  <c r="C34" i="12"/>
  <c r="E34" i="12" s="1"/>
  <c r="J33" i="12"/>
  <c r="D33" i="12"/>
  <c r="I33" i="12" s="1"/>
  <c r="C33" i="12"/>
  <c r="H33" i="12" s="1"/>
  <c r="J32" i="12"/>
  <c r="D32" i="12"/>
  <c r="I32" i="12" s="1"/>
  <c r="C32" i="12"/>
  <c r="H32" i="12" s="1"/>
  <c r="J31" i="12"/>
  <c r="D31" i="12"/>
  <c r="I31" i="12" s="1"/>
  <c r="C31" i="12"/>
  <c r="H31" i="12" s="1"/>
  <c r="J30" i="12"/>
  <c r="D30" i="12"/>
  <c r="I30" i="12" s="1"/>
  <c r="C30" i="12"/>
  <c r="D36" i="12"/>
  <c r="E36" i="12" s="1"/>
  <c r="G11" i="10"/>
  <c r="G10" i="10"/>
  <c r="G9" i="10"/>
  <c r="G8" i="10"/>
  <c r="G7" i="10"/>
  <c r="G6" i="10"/>
  <c r="L16" i="5"/>
  <c r="K16" i="5"/>
  <c r="J16" i="5"/>
  <c r="L15" i="5"/>
  <c r="K15" i="5"/>
  <c r="J15" i="5"/>
  <c r="L14" i="5"/>
  <c r="K14" i="5"/>
  <c r="J14" i="5"/>
  <c r="K13" i="5"/>
  <c r="L13" i="5" s="1"/>
  <c r="K12" i="5"/>
  <c r="L12" i="5" s="1"/>
  <c r="I16" i="5"/>
  <c r="I15" i="5"/>
  <c r="I14" i="5"/>
  <c r="H16" i="5"/>
  <c r="H15" i="5"/>
  <c r="H14" i="5"/>
  <c r="H13" i="5"/>
  <c r="I13" i="5" s="1"/>
  <c r="J13" i="5" s="1"/>
  <c r="H12" i="5"/>
  <c r="I12" i="5" s="1"/>
  <c r="J12" i="5" s="1"/>
  <c r="H18" i="8"/>
  <c r="H17" i="8"/>
  <c r="H16" i="8"/>
  <c r="H15" i="8"/>
  <c r="H14" i="8"/>
  <c r="H13" i="8"/>
  <c r="L22" i="8"/>
  <c r="L23" i="8" s="1"/>
  <c r="D24" i="8"/>
  <c r="D23" i="8"/>
  <c r="D22" i="8"/>
  <c r="D21" i="8"/>
  <c r="C18" i="8"/>
  <c r="I18" i="8" s="1"/>
  <c r="J18" i="8" s="1"/>
  <c r="E18" i="8"/>
  <c r="C17" i="8"/>
  <c r="E17" i="8"/>
  <c r="C16" i="8"/>
  <c r="E16" i="8"/>
  <c r="C15" i="8"/>
  <c r="E15" i="8"/>
  <c r="C14" i="8"/>
  <c r="I14" i="8" s="1"/>
  <c r="J14" i="8" s="1"/>
  <c r="E14" i="8"/>
  <c r="C13" i="8"/>
  <c r="E13" i="8"/>
  <c r="D19" i="5"/>
  <c r="J20" i="5"/>
  <c r="J21" i="5" s="1"/>
  <c r="D15" i="1"/>
  <c r="D14" i="1"/>
  <c r="D17" i="8" s="1"/>
  <c r="D13" i="1"/>
  <c r="F33" i="12" s="1"/>
  <c r="D12" i="1"/>
  <c r="F32" i="12" s="1"/>
  <c r="D11" i="1"/>
  <c r="D13" i="8" s="1"/>
  <c r="D10" i="1"/>
  <c r="D14" i="8" s="1"/>
  <c r="D9" i="1"/>
  <c r="D8" i="1"/>
  <c r="F35" i="12" s="1"/>
  <c r="D7" i="1"/>
  <c r="D6" i="1"/>
  <c r="D10" i="2"/>
  <c r="F40" i="12" s="1"/>
  <c r="D9" i="2"/>
  <c r="F39" i="12" s="1"/>
  <c r="D8" i="2"/>
  <c r="F38" i="12" s="1"/>
  <c r="D7" i="2"/>
  <c r="H17" i="10" s="1"/>
  <c r="D6" i="2"/>
  <c r="F36" i="12" s="1"/>
  <c r="C42" i="12" l="1"/>
  <c r="F21" i="10" s="1"/>
  <c r="J42" i="12"/>
  <c r="E41" i="12"/>
  <c r="E31" i="12"/>
  <c r="G41" i="12"/>
  <c r="I41" i="12" s="1"/>
  <c r="D21" i="10"/>
  <c r="M21" i="10" s="1"/>
  <c r="G31" i="12"/>
  <c r="G35" i="12"/>
  <c r="D42" i="12"/>
  <c r="H19" i="10"/>
  <c r="H20" i="10"/>
  <c r="H18" i="10"/>
  <c r="H16" i="10"/>
  <c r="E35" i="12"/>
  <c r="G37" i="12"/>
  <c r="H34" i="12"/>
  <c r="E37" i="12"/>
  <c r="E39" i="12"/>
  <c r="G32" i="12"/>
  <c r="G39" i="12"/>
  <c r="G34" i="12"/>
  <c r="G36" i="12"/>
  <c r="I36" i="12" s="1"/>
  <c r="E33" i="12"/>
  <c r="H40" i="12"/>
  <c r="H30" i="12"/>
  <c r="G30" i="12"/>
  <c r="G33" i="12"/>
  <c r="E30" i="12"/>
  <c r="E40" i="12"/>
  <c r="E32" i="12"/>
  <c r="E38" i="12"/>
  <c r="G38" i="12"/>
  <c r="F31" i="12"/>
  <c r="F30" i="12"/>
  <c r="F34" i="12"/>
  <c r="F37" i="12"/>
  <c r="D18" i="8"/>
  <c r="H8" i="10"/>
  <c r="D15" i="8"/>
  <c r="D16" i="8"/>
  <c r="I17" i="8"/>
  <c r="J17" i="8" s="1"/>
  <c r="H10" i="10"/>
  <c r="H9" i="10"/>
  <c r="I16" i="8"/>
  <c r="J16" i="8" s="1"/>
  <c r="I15" i="8"/>
  <c r="J15" i="8" s="1"/>
  <c r="H6" i="10"/>
  <c r="H7" i="10"/>
  <c r="H11" i="10"/>
  <c r="I13" i="8"/>
  <c r="J13" i="8" s="1"/>
  <c r="F20" i="10"/>
  <c r="D21" i="5"/>
  <c r="D20" i="5"/>
  <c r="E21" i="10" l="1"/>
  <c r="H41" i="12"/>
  <c r="I21" i="10"/>
  <c r="J21" i="10" s="1"/>
  <c r="K21" i="10" s="1"/>
  <c r="L21" i="10" s="1"/>
  <c r="H36" i="12"/>
  <c r="G42" i="12"/>
  <c r="I42" i="12" s="1"/>
  <c r="F8" i="10"/>
  <c r="F9" i="10"/>
  <c r="D11" i="10"/>
  <c r="I11" i="10" s="1"/>
  <c r="F11" i="10"/>
  <c r="D18" i="10"/>
  <c r="M18" i="10" s="1"/>
  <c r="D6" i="10"/>
  <c r="D20" i="10"/>
  <c r="I20" i="10" s="1"/>
  <c r="J20" i="10" s="1"/>
  <c r="K20" i="10" s="1"/>
  <c r="F19" i="10"/>
  <c r="F18" i="10"/>
  <c r="F7" i="10"/>
  <c r="F17" i="10"/>
  <c r="D8" i="10"/>
  <c r="I8" i="10" s="1"/>
  <c r="D7" i="10"/>
  <c r="I7" i="10" s="1"/>
  <c r="D10" i="10"/>
  <c r="D9" i="10"/>
  <c r="E9" i="10" s="1"/>
  <c r="F6" i="10"/>
  <c r="F16" i="10"/>
  <c r="D16" i="10"/>
  <c r="D17" i="10"/>
  <c r="F10" i="10"/>
  <c r="D19" i="10"/>
  <c r="H42" i="12" l="1"/>
  <c r="F22" i="10"/>
  <c r="J8" i="10"/>
  <c r="K8" i="10" s="1"/>
  <c r="E20" i="10"/>
  <c r="M20" i="10"/>
  <c r="C7" i="10"/>
  <c r="E11" i="10"/>
  <c r="M11" i="10"/>
  <c r="C18" i="10"/>
  <c r="M7" i="10"/>
  <c r="C11" i="10"/>
  <c r="J7" i="10"/>
  <c r="K7" i="10" s="1"/>
  <c r="J11" i="10"/>
  <c r="K11" i="10" s="1"/>
  <c r="E6" i="10"/>
  <c r="M6" i="10"/>
  <c r="I18" i="10"/>
  <c r="J18" i="10" s="1"/>
  <c r="K18" i="10" s="1"/>
  <c r="L8" i="10"/>
  <c r="L20" i="10"/>
  <c r="L7" i="10"/>
  <c r="I6" i="10"/>
  <c r="J6" i="10" s="1"/>
  <c r="K6" i="10" s="1"/>
  <c r="L6" i="10" s="1"/>
  <c r="L18" i="10"/>
  <c r="C8" i="10"/>
  <c r="C20" i="10"/>
  <c r="M8" i="10"/>
  <c r="L11" i="10"/>
  <c r="E7" i="10"/>
  <c r="E18" i="10"/>
  <c r="E8" i="10"/>
  <c r="I17" i="10"/>
  <c r="J17" i="10" s="1"/>
  <c r="K17" i="10" s="1"/>
  <c r="M17" i="10"/>
  <c r="L17" i="10"/>
  <c r="C17" i="10"/>
  <c r="E17" i="10"/>
  <c r="M10" i="10"/>
  <c r="L10" i="10"/>
  <c r="C10" i="10"/>
  <c r="I10" i="10"/>
  <c r="J10" i="10" s="1"/>
  <c r="K10" i="10" s="1"/>
  <c r="F12" i="10"/>
  <c r="E10" i="10"/>
  <c r="M19" i="10"/>
  <c r="C19" i="10"/>
  <c r="L19" i="10"/>
  <c r="I19" i="10"/>
  <c r="J19" i="10" s="1"/>
  <c r="K19" i="10" s="1"/>
  <c r="E19" i="10"/>
  <c r="C16" i="10"/>
  <c r="M16" i="10" s="1"/>
  <c r="I16" i="10"/>
  <c r="E16" i="10"/>
  <c r="L9" i="10"/>
  <c r="I9" i="10"/>
  <c r="M9" i="10"/>
  <c r="C9" i="10"/>
  <c r="I22" i="10" l="1"/>
  <c r="J22" i="10" s="1"/>
  <c r="K22" i="10" s="1"/>
  <c r="L22" i="10" s="1"/>
  <c r="J16" i="10"/>
  <c r="K16" i="10" s="1"/>
  <c r="L16" i="10" s="1"/>
  <c r="F24" i="10"/>
  <c r="I12" i="10"/>
  <c r="J9" i="10"/>
  <c r="K9" i="10" s="1"/>
  <c r="J12" i="10" l="1"/>
  <c r="K12" i="10" s="1"/>
  <c r="L12" i="10" s="1"/>
  <c r="I24" i="10"/>
  <c r="J24" i="10" s="1"/>
  <c r="K24" i="10" s="1"/>
  <c r="L24" i="10" s="1"/>
  <c r="F7" i="12" l="1"/>
  <c r="G7" i="12"/>
  <c r="J9" i="12"/>
  <c r="G9" i="12"/>
  <c r="H9" i="12"/>
  <c r="I9" i="12"/>
  <c r="J16" i="12"/>
  <c r="I16" i="12"/>
  <c r="H16" i="12"/>
  <c r="G16" i="12"/>
  <c r="J11" i="12"/>
  <c r="G11" i="12"/>
  <c r="H11" i="12"/>
  <c r="I11" i="12"/>
  <c r="I10" i="12"/>
  <c r="H10" i="12"/>
  <c r="G10" i="12"/>
  <c r="J10" i="12"/>
  <c r="J23" i="12"/>
  <c r="G23" i="12"/>
  <c r="H23" i="12"/>
  <c r="I23" i="12"/>
  <c r="I21" i="12"/>
  <c r="H21" i="12"/>
  <c r="G21" i="12"/>
  <c r="J21" i="12"/>
  <c r="J19" i="12"/>
  <c r="G19" i="12"/>
  <c r="H19" i="12"/>
  <c r="I19" i="12"/>
  <c r="J24" i="12"/>
  <c r="G24" i="12"/>
  <c r="H24" i="12"/>
  <c r="I24" i="12"/>
  <c r="J8" i="12"/>
  <c r="G8" i="12"/>
  <c r="H8" i="12"/>
  <c r="I8" i="12"/>
  <c r="I13" i="12"/>
  <c r="H13" i="12"/>
  <c r="G13" i="12"/>
  <c r="J13" i="12"/>
  <c r="I22" i="12"/>
  <c r="H22" i="12"/>
  <c r="G22" i="12"/>
  <c r="J22" i="12"/>
  <c r="I15" i="12"/>
  <c r="H15" i="12"/>
  <c r="G15" i="12"/>
  <c r="J15" i="12"/>
  <c r="I12" i="12"/>
  <c r="H12" i="12"/>
  <c r="G12" i="12"/>
  <c r="J12" i="12"/>
  <c r="I14" i="12"/>
  <c r="H14" i="12"/>
  <c r="G14" i="12"/>
  <c r="J14" i="12"/>
  <c r="I17" i="12"/>
  <c r="H17" i="12"/>
  <c r="G17" i="12"/>
  <c r="J17" i="12"/>
  <c r="I18" i="12"/>
  <c r="H18" i="12"/>
  <c r="G18" i="12"/>
  <c r="J18" i="12"/>
  <c r="J20" i="12"/>
  <c r="I20" i="12"/>
  <c r="H20" i="12"/>
  <c r="G2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87BF2258-B28E-4577-BF18-FCCE6DFDA6B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https://www.coingecko.com/en/coins/bitcoin</t>
        </r>
      </text>
    </comment>
    <comment ref="E6" authorId="0" shapeId="0" xr:uid="{D52CF767-5E4A-47BE-A414-36AEC4E957CA}">
      <text>
        <r>
          <rPr>
            <b/>
            <sz val="9"/>
            <color indexed="81"/>
            <rFont val="Segoe UI"/>
            <family val="2"/>
          </rPr>
          <t>Source: CoinGecko, https://www.coingecko.com/en/coins/bitcoin</t>
        </r>
      </text>
    </comment>
    <comment ref="C7" authorId="0" shapeId="0" xr:uid="{D4E40C55-DBF0-4A4B-858D-061F4517CD79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https://www.coingecko.com/en/coins/ethereum</t>
        </r>
      </text>
    </comment>
    <comment ref="E7" authorId="0" shapeId="0" xr:uid="{E158F696-236E-4597-90A2-86391E5B470D}">
      <text>
        <r>
          <rPr>
            <b/>
            <sz val="9"/>
            <color indexed="81"/>
            <rFont val="Segoe UI"/>
            <family val="2"/>
          </rPr>
          <t>Source: CoinGecko, https://www.coingecko.com/en/coins/ethereum</t>
        </r>
      </text>
    </comment>
    <comment ref="C8" authorId="0" shapeId="0" xr:uid="{45DE1F6C-8E59-4E7F-A396-8289977F01B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https://www.coingecko.com/en/coins/bnb</t>
        </r>
      </text>
    </comment>
    <comment ref="E8" authorId="0" shapeId="0" xr:uid="{828EA1D3-07C4-475E-B72C-4936CBC9ADBB}">
      <text>
        <r>
          <rPr>
            <b/>
            <sz val="9"/>
            <color indexed="81"/>
            <rFont val="Segoe UI"/>
            <family val="2"/>
          </rPr>
          <t>Source: CoinGecko, https://www.coingecko.com/en/coins/bnb</t>
        </r>
      </text>
    </comment>
    <comment ref="C9" authorId="0" shapeId="0" xr:uid="{579C7E7C-E5F1-4700-B227-9D15FA264CD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CoinMarketCap, https://coinmarketcap.com/currencies/pax-gold/</t>
        </r>
      </text>
    </comment>
    <comment ref="E9" authorId="0" shapeId="0" xr:uid="{8E50936B-A9D0-476E-A351-E2668447D266}">
      <text>
        <r>
          <rPr>
            <b/>
            <sz val="9"/>
            <color indexed="81"/>
            <rFont val="Segoe UI"/>
            <family val="2"/>
          </rPr>
          <t>Source: CoinMarketCap, https://coinmarketcap.com/currencies/pax-gold/</t>
        </r>
      </text>
    </comment>
    <comment ref="C10" authorId="0" shapeId="0" xr:uid="{BB9E7765-AECA-4BE0-850F-0D97205F4462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https://www.coingecko.com/en/coins/aave</t>
        </r>
      </text>
    </comment>
    <comment ref="E10" authorId="0" shapeId="0" xr:uid="{28D30D70-ACFD-4FA8-86F0-3D6CCE9770F9}">
      <text>
        <r>
          <rPr>
            <b/>
            <sz val="9"/>
            <color indexed="81"/>
            <rFont val="Segoe UI"/>
            <family val="2"/>
          </rPr>
          <t>Source: CoinGecko, https://www.coingecko.com/en/coins/aave</t>
        </r>
      </text>
    </comment>
    <comment ref="C11" authorId="0" shapeId="0" xr:uid="{815CC9E2-85CC-4F8B-AB7E-55A86D6A1E9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https://www.coingecko.com/en/coins/chainlink</t>
        </r>
      </text>
    </comment>
    <comment ref="E11" authorId="0" shapeId="0" xr:uid="{3D488378-DE9D-4968-9930-9E37E8C31D6E}">
      <text>
        <r>
          <rPr>
            <b/>
            <sz val="9"/>
            <color indexed="81"/>
            <rFont val="Segoe UI"/>
            <family val="2"/>
          </rPr>
          <t>Source: CoinGecko, https://www.coingecko.com/en/coins/chainlink</t>
        </r>
      </text>
    </comment>
    <comment ref="C12" authorId="0" shapeId="0" xr:uid="{8960EDA5-6EF6-4A63-BAF6-EAB7E6BC6888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https://www.coingecko.com/en/coins/avalanche</t>
        </r>
      </text>
    </comment>
    <comment ref="E12" authorId="0" shapeId="0" xr:uid="{AE12A3CB-5059-47B5-ABF2-7F65710305A3}">
      <text>
        <r>
          <rPr>
            <b/>
            <sz val="9"/>
            <color indexed="81"/>
            <rFont val="Segoe UI"/>
            <family val="2"/>
          </rPr>
          <t>Source: CoinGecko, https://www.coingecko.com/en/coins/avalanche</t>
        </r>
      </text>
    </comment>
    <comment ref="C13" authorId="0" shapeId="0" xr:uid="{F8F27B3C-9390-480B-9DFB-4FDF58BBB9A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https://www.coingecko.com/en/coins/near</t>
        </r>
      </text>
    </comment>
    <comment ref="E13" authorId="0" shapeId="0" xr:uid="{CCD2C58E-38F6-4B0F-A600-9C821599C312}">
      <text>
        <r>
          <rPr>
            <b/>
            <sz val="9"/>
            <color indexed="81"/>
            <rFont val="Segoe UI"/>
            <family val="2"/>
          </rPr>
          <t>Source: CoinGecko, https://www.coingecko.com/en/coins/near</t>
        </r>
      </text>
    </comment>
    <comment ref="C14" authorId="0" shapeId="0" xr:uid="{CDFDE119-3DF7-46E7-A023-F707B55A47A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https://www.coingecko.com/en/coins/solana</t>
        </r>
      </text>
    </comment>
    <comment ref="E14" authorId="0" shapeId="0" xr:uid="{0CFB88DE-C4F7-4E67-A2B0-0CC1FEDB82C0}">
      <text>
        <r>
          <rPr>
            <b/>
            <sz val="9"/>
            <color indexed="81"/>
            <rFont val="Segoe UI"/>
            <family val="2"/>
          </rPr>
          <t>Source: CoinGecko, https://www.coingecko.com/en/coins/solana</t>
        </r>
      </text>
    </comment>
    <comment ref="C15" authorId="0" shapeId="0" xr:uid="{F554663E-A859-4C4C-8CA8-246B112DE45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https://www.coingecko.com/en/coins/xrp</t>
        </r>
      </text>
    </comment>
    <comment ref="E15" authorId="0" shapeId="0" xr:uid="{6D6FCB9E-12F1-4043-8A9F-220A379D509E}">
      <text>
        <r>
          <rPr>
            <b/>
            <sz val="9"/>
            <color indexed="81"/>
            <rFont val="Segoe UI"/>
            <family val="2"/>
          </rPr>
          <t>Source: CoinGecko, https://www.coingecko.com/en/coins/xrp</t>
        </r>
      </text>
    </comment>
    <comment ref="C19" authorId="0" shapeId="0" xr:uid="{E3C07D78-C68A-4E72-B71B-1E86960F08CD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BDA4BCC3-24A8-45AE-833D-89C63776B3CC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F6" authorId="0" shapeId="0" xr:uid="{CB8726AB-AB6B-474F-A4A8-92E534AF7FC8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C7" authorId="0" shapeId="0" xr:uid="{BDBC2661-8FEB-4BCB-848E-A1B4DC175AAD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F7" authorId="0" shapeId="0" xr:uid="{EABD781C-8013-42B0-A167-F17C69925149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C8" authorId="0" shapeId="0" xr:uid="{B4DBCDB8-F312-4FBF-9C26-B155B0D5ADC9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F8" authorId="0" shapeId="0" xr:uid="{3210F20A-5F04-4B12-AB0F-004E7AE4BAA7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C9" authorId="0" shapeId="0" xr:uid="{F79EF996-F514-4B3A-991B-EF71420B0375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F9" authorId="0" shapeId="0" xr:uid="{9256733C-7E85-4825-8CC2-B35C0756EBFA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C10" authorId="0" shapeId="0" xr:uid="{48455543-65C7-4CD8-B8AC-FAF370721F26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F10" authorId="0" shapeId="0" xr:uid="{C2A76814-B568-4B81-926B-16DB30ECBDDE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C11" authorId="0" shapeId="0" xr:uid="{CA6EAD7C-4858-4C19-A4EA-80BB7E3FCA5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Stablecoin - preço fixo em US$ 1,00. Rende 3,87% a.a. pago diariamente (Binance Earn Flexível).</t>
        </r>
      </text>
    </comment>
    <comment ref="F11" authorId="0" shapeId="0" xr:uid="{219840B6-5AAE-4DCC-8EF7-2B005A225C6F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APR 3,87% - juros pagos diariamente pela Binance Earn</t>
        </r>
      </text>
    </comment>
    <comment ref="C13" authorId="0" shapeId="0" xr:uid="{CA8A22D0-8615-4909-96F9-D222E035A6AB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G5" authorId="0" shapeId="0" xr:uid="{B7E15E90-1340-425C-8CB8-45B745C496B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5" authorId="0" shapeId="0" xr:uid="{7AFB34B8-B517-42CB-ABA0-F9F93EC5623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(calculado: Total R$ / Qtd)</t>
        </r>
      </text>
    </comment>
    <comment ref="I5" authorId="0" shapeId="0" xr:uid="{90B6C621-B7DE-49CF-9188-D8072D949700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(fixo, não muda com câmbio)</t>
        </r>
      </text>
    </comment>
    <comment ref="J5" authorId="0" shapeId="0" xr:uid="{460EDBAF-18A8-427F-8051-24A42320B7C4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Câmbio USD/BRL no dia da compra</t>
        </r>
      </text>
    </comment>
    <comment ref="G6" authorId="0" shapeId="0" xr:uid="{CCBA334E-13B9-4F4A-BC6C-D1B06F5AEBB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6" authorId="0" shapeId="0" xr:uid="{B8FC4B3C-B97B-4222-97D8-2C5EDE0875C8}">
      <text>
        <r>
          <rPr>
            <b/>
            <sz val="9"/>
            <color indexed="81"/>
            <rFont val="Segoe UI"/>
            <family val="2"/>
          </rPr>
          <t>Preço R$ pago (calculado: Total R$ / Qtd)</t>
        </r>
      </text>
    </comment>
    <comment ref="I6" authorId="0" shapeId="0" xr:uid="{A7AA1325-9605-40BF-A830-B961E79EE661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(41,407 USDT × R$4,98)</t>
        </r>
      </text>
    </comment>
    <comment ref="J6" authorId="0" shapeId="0" xr:uid="{8E7F73DF-E0CC-4D3C-A157-D6C04ABE49CC}">
      <text>
        <r>
          <rPr>
            <b/>
            <sz val="9"/>
            <color indexed="81"/>
            <rFont val="Segoe UI"/>
            <family val="2"/>
          </rPr>
          <t>INPUT: Câmbio USD/BRL no dia da compra</t>
        </r>
      </text>
    </comment>
    <comment ref="H7" authorId="0" shapeId="0" xr:uid="{933043A0-A69C-4537-AEF1-BD6B9B379EDD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= câmbio histórico (USDT é stablecoin pareada ao USD $1)</t>
        </r>
      </text>
    </comment>
    <comment ref="F41" authorId="0" shapeId="0" xr:uid="{55864DAB-5275-41F2-9113-B1F37429525B}">
      <text>
        <r>
          <rPr>
            <b/>
            <sz val="9"/>
            <color indexed="81"/>
            <rFont val="Segoe UI"/>
            <family val="2"/>
          </rPr>
          <t>USDT é stablecoin pareada ao USD ($1.00) — preço em R$ = câmbio USD/BRL</t>
        </r>
      </text>
    </comment>
  </commentList>
</comments>
</file>

<file path=xl/sharedStrings.xml><?xml version="1.0" encoding="utf-8"?>
<sst xmlns="http://schemas.openxmlformats.org/spreadsheetml/2006/main" count="363" uniqueCount="253">
  <si>
    <t>TOP 5 SMALL CAPS  |  CRIPTO</t>
  </si>
  <si>
    <t>Criptomoeda</t>
  </si>
  <si>
    <t>Preco (USDT / US$)</t>
  </si>
  <si>
    <t>Valor em Real (R$)</t>
  </si>
  <si>
    <t>Cap. de Mercado</t>
  </si>
  <si>
    <t>Render (RNDR)</t>
  </si>
  <si>
    <t>~US$ 984M</t>
  </si>
  <si>
    <t>Injective (INJ)</t>
  </si>
  <si>
    <t>~US$ 1.3B</t>
  </si>
  <si>
    <t>Celestia (TIA)</t>
  </si>
  <si>
    <t>~US$ 440M</t>
  </si>
  <si>
    <t>The Graph (GRT)</t>
  </si>
  <si>
    <t>~US$ 780M</t>
  </si>
  <si>
    <t>Sei Network (SEI)</t>
  </si>
  <si>
    <t>~US$ 830M</t>
  </si>
  <si>
    <t>Cambio USD/BRL:</t>
  </si>
  <si>
    <t>Atualizado em:</t>
  </si>
  <si>
    <t>🏆  AS 10 MELHORES CRIPTOMOEDAS</t>
  </si>
  <si>
    <t>Preço (USDT / US$)</t>
  </si>
  <si>
    <t>Bitcoin (BTC)</t>
  </si>
  <si>
    <t>Ethereum (ETH)</t>
  </si>
  <si>
    <t>Binance Coin (BNB)</t>
  </si>
  <si>
    <t>Pax Gold (PAXG)</t>
  </si>
  <si>
    <t>Aave (AAVE)</t>
  </si>
  <si>
    <t>Chainlink (LINK)</t>
  </si>
  <si>
    <t>Avalanche (AVAX)</t>
  </si>
  <si>
    <t>Near Protocol (NEAR)</t>
  </si>
  <si>
    <t>Solana (SOL)</t>
  </si>
  <si>
    <t>Ripple (XRP)</t>
  </si>
  <si>
    <t>Câmbio USD/BRL:</t>
  </si>
  <si>
    <t>▶  ATUALIZAR PREÇOS AGORA</t>
  </si>
  <si>
    <t>Var. 24h</t>
  </si>
  <si>
    <t>🌍 RESUMO DO MERCADO</t>
  </si>
  <si>
    <t>Ativo</t>
  </si>
  <si>
    <t>Preço (USD)</t>
  </si>
  <si>
    <t>Qtd/Mês</t>
  </si>
  <si>
    <t>Médio</t>
  </si>
  <si>
    <t>Alto</t>
  </si>
  <si>
    <t>🚀 SMALL CAPS - ESTRATÉGIA DE ENTRADA (2 ANOS)</t>
  </si>
  <si>
    <t>📊 STATUS</t>
  </si>
  <si>
    <t>Aporte/Mês</t>
  </si>
  <si>
    <t>Investido</t>
  </si>
  <si>
    <t>🟢 COMPRAR</t>
  </si>
  <si>
    <t>🟡 AGUARDAR</t>
  </si>
  <si>
    <t>Preço USD</t>
  </si>
  <si>
    <t>Preço R$</t>
  </si>
  <si>
    <t>Var 24h</t>
  </si>
  <si>
    <t>Acum 24M</t>
  </si>
  <si>
    <t>Proj +200%</t>
  </si>
  <si>
    <t>📈 RESUMO DA ESTRATÉGIA</t>
  </si>
  <si>
    <t>Aporte Mensal Atual:</t>
  </si>
  <si>
    <t>Investimento 24 meses:</t>
  </si>
  <si>
    <t>Projeção (+200%):</t>
  </si>
  <si>
    <t>💰 RESERVA ESTRATÉGICA</t>
  </si>
  <si>
    <t>Reserva Total (R$):</t>
  </si>
  <si>
    <t>Aguardando entrada:</t>
  </si>
  <si>
    <t>moedas</t>
  </si>
  <si>
    <t>Reserva por moeda:</t>
  </si>
  <si>
    <t>📋 LEGENDA DE STATUS</t>
  </si>
  <si>
    <t>🟢 COMPRAR = Preço em baixa, momento de entrada</t>
  </si>
  <si>
    <t>🟡 AGUARDAR = Preço em alta, esperar correção</t>
  </si>
  <si>
    <t>🔴 VENDER = Considerar realizar lucros</t>
  </si>
  <si>
    <t>💡 COMO USAR</t>
  </si>
  <si>
    <t>1. Atualize preços nas abas originais</t>
  </si>
  <si>
    <t>2. Mude STATUS quando o cenário mudar</t>
  </si>
  <si>
    <t>3. Ajuste aportes na coluna amarela</t>
  </si>
  <si>
    <t>4. Use RESERVA para quedas inesperadas</t>
  </si>
  <si>
    <t>ℹ️  Câmbio: US$ 1 = R$ 4,98  |  Atualizado: 19/04/2026  |  Horizonte: 24 meses  |  Estratégia: DCA + Reserva</t>
  </si>
  <si>
    <t>-1,4%</t>
  </si>
  <si>
    <t>-0,7%</t>
  </si>
  <si>
    <t>+21,2%</t>
  </si>
  <si>
    <t>+6,1%</t>
  </si>
  <si>
    <t>+4,4%</t>
  </si>
  <si>
    <t>US$ 75.677</t>
  </si>
  <si>
    <t>+0,6%</t>
  </si>
  <si>
    <t>US$ 2.333</t>
  </si>
  <si>
    <t>+0,8%</t>
  </si>
  <si>
    <t>US$ 85,72</t>
  </si>
  <si>
    <t>-2,5%</t>
  </si>
  <si>
    <t>🔴 VENDER</t>
  </si>
  <si>
    <t>📊  ANÁLISE TOP CRYPTOS  |  ESTRATÉGIA DE INVESTIMENTO 2026</t>
  </si>
  <si>
    <t>🌍 CENÁRIO DO MERCADO - ABRIL 2026</t>
  </si>
  <si>
    <t>Indicador</t>
  </si>
  <si>
    <t>Valor</t>
  </si>
  <si>
    <t>Status</t>
  </si>
  <si>
    <t>Significado</t>
  </si>
  <si>
    <t>Fear &amp; Greed Index</t>
  </si>
  <si>
    <t>26-27</t>
  </si>
  <si>
    <t>😨 MEDO</t>
  </si>
  <si>
    <t>Oportunidade de compra</t>
  </si>
  <si>
    <t>BTC Dominância</t>
  </si>
  <si>
    <t>57-58%</t>
  </si>
  <si>
    <t>📈 ALTA</t>
  </si>
  <si>
    <t>Capital concentrado no BTC</t>
  </si>
  <si>
    <t>Market Cap Total</t>
  </si>
  <si>
    <t>US$ 2.7T</t>
  </si>
  <si>
    <t>🔄 RECUPERANDO</t>
  </si>
  <si>
    <t>+2.8% em 24h</t>
  </si>
  <si>
    <t>Tendência Geral</t>
  </si>
  <si>
    <t>Consolidação</t>
  </si>
  <si>
    <t>⚖️ NEUTRO</t>
  </si>
  <si>
    <t>Aguardando catalisadores</t>
  </si>
  <si>
    <t>🚀 ANÁLISE DE CRIPTOMOEDAS - OPORTUNIDADES DE INVESTIMENTO</t>
  </si>
  <si>
    <t>Prev. 2026</t>
  </si>
  <si>
    <t>Prev. 2030</t>
  </si>
  <si>
    <t>Potencial</t>
  </si>
  <si>
    <t>Risco</t>
  </si>
  <si>
    <t>US$ 14-15</t>
  </si>
  <si>
    <t>US$ 20-37</t>
  </si>
  <si>
    <t>~60-290%</t>
  </si>
  <si>
    <t>AAVE</t>
  </si>
  <si>
    <t>US$ 110-650</t>
  </si>
  <si>
    <t>US$ 190-1300</t>
  </si>
  <si>
    <t>~110-1340%</t>
  </si>
  <si>
    <t>US$ 10-16</t>
  </si>
  <si>
    <t>US$ 4-190</t>
  </si>
  <si>
    <t>~5-1950%</t>
  </si>
  <si>
    <t>NEAR Protocol</t>
  </si>
  <si>
    <t>US$ 1.80-8</t>
  </si>
  <si>
    <t>US$ 2.60-45</t>
  </si>
  <si>
    <t>~90-3250%</t>
  </si>
  <si>
    <t>US$ 180-240</t>
  </si>
  <si>
    <t>US$ 395+</t>
  </si>
  <si>
    <t>~110-360%</t>
  </si>
  <si>
    <t>US$ 1000+</t>
  </si>
  <si>
    <t>US$ 1200+</t>
  </si>
  <si>
    <t>~60-95%</t>
  </si>
  <si>
    <t>Baixo</t>
  </si>
  <si>
    <t>Aporte Mensal Total:</t>
  </si>
  <si>
    <t>Moedas em COMPRAR:</t>
  </si>
  <si>
    <t>Moedas AGUARDANDO:</t>
  </si>
  <si>
    <t>Moedas aguardando:</t>
  </si>
  <si>
    <t>Horizonte:</t>
  </si>
  <si>
    <t>24 meses</t>
  </si>
  <si>
    <t>📋 ANÁLISE DETALHADA POR MOEDA</t>
  </si>
  <si>
    <t>Moeda</t>
  </si>
  <si>
    <t>Setor</t>
  </si>
  <si>
    <t>Pontos Fortes</t>
  </si>
  <si>
    <t>Riscos</t>
  </si>
  <si>
    <t>Catalisadores 2026</t>
  </si>
  <si>
    <t>LINK</t>
  </si>
  <si>
    <t>Oracles/DeFi</t>
  </si>
  <si>
    <t>SWIFT, Coinbase CCIP</t>
  </si>
  <si>
    <t>Competição</t>
  </si>
  <si>
    <t>CCIP v1.5, ETF Grayscale, integração institucional</t>
  </si>
  <si>
    <t>DeFi/Lending</t>
  </si>
  <si>
    <t>TVL $22B, V4, #2 lending</t>
  </si>
  <si>
    <t>DeFi 2.0</t>
  </si>
  <si>
    <t>Aave V4, expansão multi-chain, RWA tokenization</t>
  </si>
  <si>
    <t>AVAX</t>
  </si>
  <si>
    <t>Layer-1</t>
  </si>
  <si>
    <t>Subnets -99.9%, ETF</t>
  </si>
  <si>
    <t>Competição L1</t>
  </si>
  <si>
    <t>Etna upgrade, tokenização institucional, parcerias</t>
  </si>
  <si>
    <t>NEAR</t>
  </si>
  <si>
    <t>Layer-1/AI</t>
  </si>
  <si>
    <t>8M+ tx/dia, Chain Sig</t>
  </si>
  <si>
    <t>Poucos dApps</t>
  </si>
  <si>
    <t>Grayscale ETF filing, expansão AI, Chain Signatures</t>
  </si>
  <si>
    <t>SOL</t>
  </si>
  <si>
    <t>TPS alto, DeFi forte</t>
  </si>
  <si>
    <t>Instabilidade</t>
  </si>
  <si>
    <t>Firedancer client, adoção institucional, memecoins</t>
  </si>
  <si>
    <t>BNB</t>
  </si>
  <si>
    <t>Exchange/L1</t>
  </si>
  <si>
    <t>Ecossistema Binance</t>
  </si>
  <si>
    <t>Regulatório</t>
  </si>
  <si>
    <t>ERC-8004 AI Agents, expansão RWA, 54K+ agents</t>
  </si>
  <si>
    <t>Preço em baixa, bom momento de entrada</t>
  </si>
  <si>
    <t>Preço em alta, esperar correção</t>
  </si>
  <si>
    <t>Considerar realizar lucros</t>
  </si>
  <si>
    <t>1. Atualize preços na aba 'Preços Crypto'</t>
  </si>
  <si>
    <t>2. Mude STATUS quando cenário mudar (clique seta)</t>
  </si>
  <si>
    <t>3. Ajuste aportes nas células amarelas</t>
  </si>
  <si>
    <t>ℹ️  Câmbio: US$ 1 = R$ 4,98  |  Atualizado: 19/04/2026  |  Horizonte: 24 meses  |  Fear &amp; Greed: 26-27 (Medo)  |  Estratégia: DCA + Reserva</t>
  </si>
  <si>
    <t>Valor USD</t>
  </si>
  <si>
    <t>💼  MINHA CARTEIRA DE CRIPTOMOEDAS  |  ACOMPANHAMENTO DE INVESTIMENTOS</t>
  </si>
  <si>
    <t>🚀 MINHAS COMPRAS - TOP CRYPTOS</t>
  </si>
  <si>
    <t>Data Compra</t>
  </si>
  <si>
    <t>Qtd Comprada</t>
  </si>
  <si>
    <t>Preço Compra (R$)</t>
  </si>
  <si>
    <t>Total Investido</t>
  </si>
  <si>
    <t>Preço Atual (USD)</t>
  </si>
  <si>
    <t>Preço Atual (R$)</t>
  </si>
  <si>
    <t>Valor Atual (R$)</t>
  </si>
  <si>
    <t>Lucro/Prejuízo</t>
  </si>
  <si>
    <t>Rentabilidade</t>
  </si>
  <si>
    <t>Dias</t>
  </si>
  <si>
    <t>SUBTOTAL TOP CRYPTOS</t>
  </si>
  <si>
    <t>💎 MINHAS COMPRAS - SMALL CAPS</t>
  </si>
  <si>
    <t>SUBTOTAL SMALL CAPS</t>
  </si>
  <si>
    <t>💰 TOTAL GERAL DA CARTEIRA</t>
  </si>
  <si>
    <t>ℹ️  Atualize os preços nas abas 'Preços Crypto' e 'Small Caps' para ver sua carteira atualizar automaticamente!  |  Data: 19/04/2026</t>
  </si>
  <si>
    <t>📝  HISTÓRICO DE COMPRAS  |  REGISTRO DETALHADO</t>
  </si>
  <si>
    <t>ID</t>
  </si>
  <si>
    <t>Tipo</t>
  </si>
  <si>
    <t>Obs</t>
  </si>
  <si>
    <t>📊  RESUMO CONSOLIDADO  |  PREÇO MÉDIO PONDERADO</t>
  </si>
  <si>
    <t>Total Qtd</t>
  </si>
  <si>
    <t>Total Invest.</t>
  </si>
  <si>
    <t>Preço Médio</t>
  </si>
  <si>
    <t>Preço Atual</t>
  </si>
  <si>
    <t>Valor Atual</t>
  </si>
  <si>
    <t>Lucro/Prej.</t>
  </si>
  <si>
    <t>Rentab.</t>
  </si>
  <si>
    <t>Compras</t>
  </si>
  <si>
    <t>💰 TOTAL GERAL</t>
  </si>
  <si>
    <t>-</t>
  </si>
  <si>
    <t>📋 COMO USAR</t>
  </si>
  <si>
    <t>1️⃣ Preencha cada COMPRA em uma linha (células amarelas)</t>
  </si>
  <si>
    <t>2️⃣ Selecione a CRIPTOMOEDA no dropdown</t>
  </si>
  <si>
    <t>3️⃣ Escolha TIPO: 🟢 COMPRA ou 🔴 VENDA</t>
  </si>
  <si>
    <t>4️⃣ Informe DATA, QUANTIDADE e PREÇO</t>
  </si>
  <si>
    <t>5️⃣ Marque STATUS: ✅ ATIVO para incluir no cálculo</t>
  </si>
  <si>
    <t>6️⃣ O RESUMO calcula o PREÇO MÉDIO automaticamente!</t>
  </si>
  <si>
    <t>📐 FÓRMULA DO PREÇO MÉDIO</t>
  </si>
  <si>
    <t>Preço Médio = Total Investido ÷ Quantidade</t>
  </si>
  <si>
    <t>Exemplo: (R$460 + R$532) ÷ 22 = R$45,09</t>
  </si>
  <si>
    <t>Isso considera o PESO de cada compra!</t>
  </si>
  <si>
    <t>📋 COMO FUNCIONA</t>
  </si>
  <si>
    <t>1️⃣ Registre suas compras na aba 'Histórico Compras'</t>
  </si>
  <si>
    <t>2️⃣ Esta aba consolida AUTOMATICAMENTE todos os dados</t>
  </si>
  <si>
    <t>3️⃣ Preço Médio é calculado automaticamente (ponderado)</t>
  </si>
  <si>
    <t>4️⃣ Atualize preços nas abas 'Preços Crypto' e 'Small Caps'</t>
  </si>
  <si>
    <t>🟢 COMPRA</t>
  </si>
  <si>
    <t>✅ ATIVO</t>
  </si>
  <si>
    <t>US$ 5-18</t>
  </si>
  <si>
    <t>US$ 62-100</t>
  </si>
  <si>
    <t>~30-50x</t>
  </si>
  <si>
    <t>US$ 4-15</t>
  </si>
  <si>
    <t>US$ 58-74</t>
  </si>
  <si>
    <t>~18-22x</t>
  </si>
  <si>
    <t>US$ 0.23-1</t>
  </si>
  <si>
    <t>US$ 0.70-1.32</t>
  </si>
  <si>
    <t>~2-3x</t>
  </si>
  <si>
    <t>US$ 0.32-1.75</t>
  </si>
  <si>
    <t>US$ 1.89-3.55</t>
  </si>
  <si>
    <t>~75-140x</t>
  </si>
  <si>
    <t>US$ 0.02-0.20</t>
  </si>
  <si>
    <t>US$ 0.78-0.90</t>
  </si>
  <si>
    <t>~14-16x</t>
  </si>
  <si>
    <t>Muito Alto</t>
  </si>
  <si>
    <t>📊  ESTRATÉGIA DCA 2 ANOS  |  COMPRA INTELIGENTE  |  PREVISÕES</t>
  </si>
  <si>
    <t>USDT EARN (USDT)</t>
  </si>
  <si>
    <t>Stablecoin</t>
  </si>
  <si>
    <t>Binance Earn Flexível - APR 3,87%</t>
  </si>
  <si>
    <t>Preço USD (calc)</t>
  </si>
  <si>
    <t>Preço R$ (calc)</t>
  </si>
  <si>
    <t>Total Investido R$</t>
  </si>
  <si>
    <t>Câmbio Histórico</t>
  </si>
  <si>
    <t>Compra R$ 1.000 a 4,92</t>
  </si>
  <si>
    <t>13/05/2026 07:09</t>
  </si>
  <si>
    <t>13/05/2026 07:10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</si>
</sst>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US$ 1 = R$ &quot;0.00"/>
    <numFmt numFmtId="165" formatCode="&quot;US$ &quot;0.00"/>
    <numFmt numFmtId="166" formatCode="&quot;R$ &quot;#\ ##0.00"/>
    <numFmt numFmtId="167" formatCode="&quot;US$ &quot;0.0000"/>
    <numFmt numFmtId="168" formatCode="&quot;R$ &quot;0.00"/>
    <numFmt numFmtId="169" formatCode="0.0%;\-0.0%;&quot;-&quot;"/>
    <numFmt numFmtId="170" formatCode="\R&quot;R$&quot;\ #,##0.00"/>
    <numFmt numFmtId="171" formatCode="&quot;US$&quot;\ #,##0.00"/>
    <numFmt numFmtId="172" formatCode="#,##0.0000"/>
    <numFmt numFmtId="173" formatCode="&quot;R$&quot;\ #,##0.00"/>
    <numFmt numFmtId="174" formatCode="&quot;US$&quot;\ #,##0.0000"/>
    <numFmt numFmtId="175" formatCode="0.0000"/>
    <numFmt numFmtId="176" formatCode="&quot;US$ &quot;#.##00000"/>
    <numFmt numFmtId="177" formatCode="&quot;US$ &quot;#,##0.0000"/>
    <numFmt numFmtId="178" formatCode="\R&quot;R$&quot;\ #.##000"/>
    <numFmt numFmtId="179" formatCode="m/d/yyyy"/>
  </numFmts>
  <fonts count="40" x14ac:knownFonts="1"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0"/>
      <color rgb="FF00FF88"/>
      <name val="Arial"/>
      <family val="2"/>
    </font>
    <font>
      <b/>
      <sz val="11"/>
      <color rgb="FFFFD700"/>
      <name val="Arial"/>
      <family val="2"/>
    </font>
    <font>
      <b/>
      <sz val="10"/>
      <color rgb="FFAAAAAA"/>
      <name val="Arial"/>
      <family val="2"/>
    </font>
    <font>
      <b/>
      <sz val="11"/>
      <color rgb="FF00FF88"/>
      <name val="Arial"/>
      <family val="2"/>
    </font>
    <font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6"/>
      <color rgb="FFFFD700"/>
      <name val="Arial"/>
      <family val="2"/>
    </font>
    <font>
      <i/>
      <sz val="8"/>
      <color rgb="FFFF6666"/>
      <name val="Arial"/>
      <family val="2"/>
    </font>
    <font>
      <sz val="10"/>
      <color rgb="FFAAAACC"/>
      <name val="Arial"/>
      <family val="2"/>
    </font>
    <font>
      <b/>
      <sz val="11"/>
      <color rgb="FF00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2E7D32"/>
      <name val="Aptos Narrow"/>
      <family val="2"/>
      <scheme val="minor"/>
    </font>
    <font>
      <sz val="11"/>
      <color rgb="FF2E7D32"/>
      <name val="Aptos Narrow"/>
      <family val="2"/>
      <scheme val="minor"/>
    </font>
    <font>
      <sz val="11"/>
      <color rgb="FFE65100"/>
      <name val="Aptos Narrow"/>
      <family val="2"/>
      <scheme val="minor"/>
    </font>
    <font>
      <sz val="11"/>
      <color rgb="FFC62828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E651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375623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sz val="11"/>
      <color rgb="FF806000"/>
      <name val="Aptos Narrow"/>
      <family val="2"/>
      <scheme val="minor"/>
    </font>
    <font>
      <sz val="11"/>
      <color rgb="FFC659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rgb="FFAAAACC"/>
      <name val="Arial"/>
      <family val="2"/>
    </font>
    <font>
      <b/>
      <sz val="11"/>
      <color rgb="FFFF4444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0D0D1A"/>
      </patternFill>
    </fill>
    <fill>
      <patternFill patternType="solid">
        <fgColor rgb="FF0D0D1A"/>
      </patternFill>
    </fill>
    <fill>
      <patternFill patternType="solid">
        <fgColor rgb="FF0F3460"/>
        <bgColor indexed="64"/>
      </patternFill>
    </fill>
    <fill>
      <patternFill patternType="solid">
        <fgColor rgb="FF1A1A2E"/>
        <bgColor indexed="64"/>
      </patternFill>
    </fill>
    <fill>
      <patternFill patternType="solid">
        <fgColor rgb="FF0D0D1A"/>
      </patternFill>
    </fill>
    <fill>
      <patternFill patternType="solid">
        <fgColor rgb="FF0D0D1A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D47A1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333366"/>
      </right>
      <top style="thin">
        <color rgb="FF333366"/>
      </top>
      <bottom style="thin">
        <color rgb="FF333366"/>
      </bottom>
      <diagonal/>
    </border>
    <border>
      <left/>
      <right/>
      <top style="thin">
        <color rgb="FF333366"/>
      </top>
      <bottom style="thin">
        <color rgb="FF333366"/>
      </bottom>
      <diagonal/>
    </border>
    <border>
      <left style="thin">
        <color rgb="FF333366"/>
      </left>
      <right style="thin">
        <color rgb="FF333366"/>
      </right>
      <top style="thin">
        <color rgb="FF333366"/>
      </top>
      <bottom style="thin">
        <color rgb="FF333366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 style="thin">
        <color rgb="FF1E2A4A"/>
      </left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/>
      <diagonal/>
    </border>
    <border>
      <left style="thin">
        <color rgb="FF333366"/>
      </left>
      <right/>
      <top style="thin">
        <color rgb="FF333366"/>
      </top>
      <bottom style="thin">
        <color rgb="FF3333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2" borderId="0" xfId="0" applyFill="1"/>
    <xf numFmtId="0" fontId="0" fillId="3" borderId="0" xfId="0" applyFill="1"/>
    <xf numFmtId="0" fontId="7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/>
    </xf>
    <xf numFmtId="164" fontId="3" fillId="3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165" fontId="5" fillId="4" borderId="7" xfId="0" applyNumberFormat="1" applyFont="1" applyFill="1" applyBorder="1" applyAlignment="1">
      <alignment horizontal="right" vertical="center"/>
    </xf>
    <xf numFmtId="165" fontId="5" fillId="5" borderId="7" xfId="0" applyNumberFormat="1" applyFont="1" applyFill="1" applyBorder="1" applyAlignment="1">
      <alignment horizontal="right" vertical="center"/>
    </xf>
    <xf numFmtId="49" fontId="2" fillId="3" borderId="3" xfId="0" applyNumberFormat="1" applyFont="1" applyFill="1" applyBorder="1" applyAlignment="1">
      <alignment horizontal="center" vertical="center" wrapText="1"/>
    </xf>
    <xf numFmtId="167" fontId="5" fillId="4" borderId="7" xfId="0" applyNumberFormat="1" applyFont="1" applyFill="1" applyBorder="1" applyAlignment="1">
      <alignment horizontal="right" vertical="center"/>
    </xf>
    <xf numFmtId="168" fontId="3" fillId="4" borderId="7" xfId="0" applyNumberFormat="1" applyFont="1" applyFill="1" applyBorder="1" applyAlignment="1">
      <alignment horizontal="right" vertical="center"/>
    </xf>
    <xf numFmtId="167" fontId="5" fillId="5" borderId="7" xfId="0" applyNumberFormat="1" applyFont="1" applyFill="1" applyBorder="1" applyAlignment="1">
      <alignment horizontal="right" vertical="center"/>
    </xf>
    <xf numFmtId="168" fontId="3" fillId="5" borderId="7" xfId="0" applyNumberFormat="1" applyFont="1" applyFill="1" applyBorder="1" applyAlignment="1">
      <alignment horizontal="right" vertical="center"/>
    </xf>
    <xf numFmtId="0" fontId="0" fillId="6" borderId="0" xfId="0" applyFill="1"/>
    <xf numFmtId="0" fontId="1" fillId="3" borderId="8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169" fontId="5" fillId="4" borderId="9" xfId="0" applyNumberFormat="1" applyFont="1" applyFill="1" applyBorder="1" applyAlignment="1">
      <alignment horizontal="center"/>
    </xf>
    <xf numFmtId="169" fontId="5" fillId="5" borderId="9" xfId="0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/>
    </xf>
    <xf numFmtId="166" fontId="3" fillId="4" borderId="8" xfId="0" applyNumberFormat="1" applyFont="1" applyFill="1" applyBorder="1" applyAlignment="1">
      <alignment horizontal="right" vertical="center"/>
    </xf>
    <xf numFmtId="166" fontId="3" fillId="5" borderId="8" xfId="0" applyNumberFormat="1" applyFont="1" applyFill="1" applyBorder="1" applyAlignment="1">
      <alignment horizontal="right" vertical="center"/>
    </xf>
    <xf numFmtId="0" fontId="17" fillId="0" borderId="0" xfId="0" applyFont="1"/>
    <xf numFmtId="170" fontId="0" fillId="0" borderId="0" xfId="0" applyNumberFormat="1"/>
    <xf numFmtId="0" fontId="0" fillId="0" borderId="11" xfId="0" applyBorder="1"/>
    <xf numFmtId="4" fontId="0" fillId="0" borderId="11" xfId="0" applyNumberFormat="1" applyBorder="1" applyAlignment="1">
      <alignment horizontal="center"/>
    </xf>
    <xf numFmtId="0" fontId="17" fillId="15" borderId="0" xfId="0" applyFont="1" applyFill="1"/>
    <xf numFmtId="0" fontId="22" fillId="0" borderId="0" xfId="0" applyFont="1"/>
    <xf numFmtId="0" fontId="24" fillId="0" borderId="0" xfId="0" applyFont="1"/>
    <xf numFmtId="0" fontId="17" fillId="16" borderId="11" xfId="0" applyFont="1" applyFill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17" fillId="10" borderId="11" xfId="0" applyFont="1" applyFill="1" applyBorder="1"/>
    <xf numFmtId="0" fontId="17" fillId="10" borderId="11" xfId="0" applyFont="1" applyFill="1" applyBorder="1" applyAlignment="1">
      <alignment horizontal="center"/>
    </xf>
    <xf numFmtId="0" fontId="14" fillId="20" borderId="0" xfId="0" applyFont="1" applyFill="1"/>
    <xf numFmtId="0" fontId="16" fillId="13" borderId="0" xfId="0" applyFont="1" applyFill="1"/>
    <xf numFmtId="0" fontId="15" fillId="14" borderId="0" xfId="0" applyFont="1" applyFill="1"/>
    <xf numFmtId="0" fontId="18" fillId="23" borderId="11" xfId="0" applyFont="1" applyFill="1" applyBorder="1" applyAlignment="1">
      <alignment horizontal="center"/>
    </xf>
    <xf numFmtId="171" fontId="0" fillId="12" borderId="11" xfId="0" applyNumberFormat="1" applyFill="1" applyBorder="1" applyAlignment="1">
      <alignment horizontal="center"/>
    </xf>
    <xf numFmtId="172" fontId="0" fillId="12" borderId="11" xfId="0" applyNumberFormat="1" applyFill="1" applyBorder="1" applyAlignment="1">
      <alignment horizontal="center"/>
    </xf>
    <xf numFmtId="171" fontId="17" fillId="12" borderId="11" xfId="0" applyNumberFormat="1" applyFont="1" applyFill="1" applyBorder="1" applyAlignment="1">
      <alignment horizontal="center"/>
    </xf>
    <xf numFmtId="172" fontId="0" fillId="0" borderId="11" xfId="0" applyNumberFormat="1" applyBorder="1" applyAlignment="1">
      <alignment horizontal="center"/>
    </xf>
    <xf numFmtId="173" fontId="0" fillId="0" borderId="11" xfId="0" applyNumberFormat="1" applyBorder="1" applyAlignment="1">
      <alignment horizontal="center"/>
    </xf>
    <xf numFmtId="4" fontId="0" fillId="12" borderId="11" xfId="0" applyNumberFormat="1" applyFill="1" applyBorder="1" applyAlignment="1">
      <alignment horizontal="center"/>
    </xf>
    <xf numFmtId="174" fontId="0" fillId="0" borderId="11" xfId="0" applyNumberFormat="1" applyBorder="1"/>
    <xf numFmtId="174" fontId="0" fillId="0" borderId="11" xfId="0" applyNumberFormat="1" applyBorder="1" applyAlignment="1">
      <alignment horizontal="center"/>
    </xf>
    <xf numFmtId="0" fontId="18" fillId="9" borderId="0" xfId="0" applyFont="1" applyFill="1" applyAlignment="1">
      <alignment horizontal="center"/>
    </xf>
    <xf numFmtId="10" fontId="0" fillId="0" borderId="0" xfId="0" applyNumberFormat="1"/>
    <xf numFmtId="0" fontId="17" fillId="25" borderId="0" xfId="0" applyFont="1" applyFill="1"/>
    <xf numFmtId="10" fontId="17" fillId="25" borderId="0" xfId="0" applyNumberFormat="1" applyFont="1" applyFill="1"/>
    <xf numFmtId="0" fontId="20" fillId="8" borderId="0" xfId="0" applyFont="1" applyFill="1"/>
    <xf numFmtId="10" fontId="20" fillId="8" borderId="0" xfId="0" applyNumberFormat="1" applyFont="1" applyFill="1"/>
    <xf numFmtId="14" fontId="0" fillId="24" borderId="0" xfId="0" applyNumberFormat="1" applyFill="1"/>
    <xf numFmtId="176" fontId="0" fillId="0" borderId="0" xfId="0" applyNumberFormat="1"/>
    <xf numFmtId="0" fontId="0" fillId="26" borderId="0" xfId="0" applyFill="1"/>
    <xf numFmtId="0" fontId="18" fillId="28" borderId="0" xfId="0" applyFont="1" applyFill="1" applyAlignment="1">
      <alignment horizontal="center"/>
    </xf>
    <xf numFmtId="175" fontId="0" fillId="0" borderId="0" xfId="0" applyNumberFormat="1"/>
    <xf numFmtId="0" fontId="0" fillId="29" borderId="0" xfId="0" applyFill="1"/>
    <xf numFmtId="172" fontId="0" fillId="29" borderId="0" xfId="0" applyNumberFormat="1" applyFill="1"/>
    <xf numFmtId="10" fontId="0" fillId="29" borderId="0" xfId="0" applyNumberFormat="1" applyFill="1"/>
    <xf numFmtId="0" fontId="0" fillId="30" borderId="0" xfId="0" applyFill="1"/>
    <xf numFmtId="172" fontId="0" fillId="30" borderId="0" xfId="0" applyNumberFormat="1" applyFill="1"/>
    <xf numFmtId="10" fontId="0" fillId="30" borderId="0" xfId="0" applyNumberFormat="1" applyFill="1"/>
    <xf numFmtId="0" fontId="18" fillId="27" borderId="0" xfId="0" applyFont="1" applyFill="1"/>
    <xf numFmtId="172" fontId="18" fillId="27" borderId="0" xfId="0" applyNumberFormat="1" applyFont="1" applyFill="1"/>
    <xf numFmtId="10" fontId="18" fillId="27" borderId="0" xfId="0" applyNumberFormat="1" applyFont="1" applyFill="1"/>
    <xf numFmtId="14" fontId="0" fillId="12" borderId="0" xfId="0" applyNumberFormat="1" applyFill="1"/>
    <xf numFmtId="177" fontId="0" fillId="12" borderId="0" xfId="0" applyNumberFormat="1" applyFill="1"/>
    <xf numFmtId="0" fontId="0" fillId="12" borderId="0" xfId="0" applyFill="1"/>
    <xf numFmtId="172" fontId="0" fillId="12" borderId="0" xfId="0" applyNumberFormat="1" applyFill="1"/>
    <xf numFmtId="173" fontId="0" fillId="24" borderId="0" xfId="0" applyNumberFormat="1" applyFill="1"/>
    <xf numFmtId="173" fontId="0" fillId="0" borderId="0" xfId="0" applyNumberFormat="1"/>
    <xf numFmtId="172" fontId="0" fillId="24" borderId="0" xfId="0" applyNumberFormat="1" applyFill="1"/>
    <xf numFmtId="173" fontId="0" fillId="29" borderId="0" xfId="0" applyNumberFormat="1" applyFill="1"/>
    <xf numFmtId="172" fontId="0" fillId="0" borderId="0" xfId="0" applyNumberFormat="1"/>
    <xf numFmtId="1" fontId="0" fillId="29" borderId="0" xfId="0" applyNumberFormat="1" applyFill="1"/>
    <xf numFmtId="1" fontId="0" fillId="30" borderId="0" xfId="0" applyNumberFormat="1" applyFill="1"/>
    <xf numFmtId="1" fontId="0" fillId="0" borderId="0" xfId="0" applyNumberFormat="1"/>
    <xf numFmtId="1" fontId="18" fillId="27" borderId="0" xfId="0" applyNumberFormat="1" applyFont="1" applyFill="1"/>
    <xf numFmtId="178" fontId="0" fillId="0" borderId="0" xfId="0" applyNumberFormat="1"/>
    <xf numFmtId="173" fontId="17" fillId="25" borderId="0" xfId="0" applyNumberFormat="1" applyFont="1" applyFill="1"/>
    <xf numFmtId="173" fontId="20" fillId="8" borderId="0" xfId="0" applyNumberFormat="1" applyFont="1" applyFill="1"/>
    <xf numFmtId="173" fontId="33" fillId="29" borderId="0" xfId="0" applyNumberFormat="1" applyFont="1" applyFill="1"/>
    <xf numFmtId="173" fontId="0" fillId="30" borderId="0" xfId="0" applyNumberFormat="1" applyFill="1"/>
    <xf numFmtId="173" fontId="18" fillId="27" borderId="0" xfId="0" applyNumberFormat="1" applyFont="1" applyFill="1"/>
    <xf numFmtId="173" fontId="17" fillId="12" borderId="11" xfId="0" applyNumberFormat="1" applyFont="1" applyFill="1" applyBorder="1" applyAlignment="1">
      <alignment horizontal="center"/>
    </xf>
    <xf numFmtId="173" fontId="17" fillId="0" borderId="0" xfId="0" applyNumberFormat="1" applyFont="1"/>
    <xf numFmtId="173" fontId="21" fillId="0" borderId="0" xfId="0" applyNumberFormat="1" applyFont="1"/>
    <xf numFmtId="173" fontId="17" fillId="12" borderId="0" xfId="0" applyNumberFormat="1" applyFont="1" applyFill="1"/>
    <xf numFmtId="173" fontId="0" fillId="12" borderId="11" xfId="0" applyNumberFormat="1" applyFill="1" applyBorder="1"/>
    <xf numFmtId="173" fontId="0" fillId="12" borderId="0" xfId="0" applyNumberFormat="1" applyFill="1"/>
    <xf numFmtId="0" fontId="18" fillId="8" borderId="12" xfId="0" applyFont="1" applyFill="1" applyBorder="1" applyAlignment="1">
      <alignment horizontal="center"/>
    </xf>
    <xf numFmtId="0" fontId="18" fillId="8" borderId="13" xfId="0" applyFont="1" applyFill="1" applyBorder="1" applyAlignment="1">
      <alignment horizontal="center"/>
    </xf>
    <xf numFmtId="0" fontId="18" fillId="8" borderId="0" xfId="0" applyFont="1" applyFill="1" applyAlignment="1">
      <alignment horizontal="center"/>
    </xf>
    <xf numFmtId="0" fontId="0" fillId="33" borderId="0" xfId="0" applyFill="1" applyAlignment="1">
      <alignment horizontal="center" vertical="center"/>
    </xf>
    <xf numFmtId="0" fontId="34" fillId="29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36" fillId="32" borderId="0" xfId="0" applyFont="1" applyFill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167" fontId="5" fillId="4" borderId="0" xfId="0" applyNumberFormat="1" applyFont="1" applyFill="1" applyAlignment="1">
      <alignment horizontal="right"/>
    </xf>
    <xf numFmtId="168" fontId="3" fillId="4" borderId="0" xfId="0" applyNumberFormat="1" applyFont="1" applyFill="1" applyAlignment="1">
      <alignment horizontal="right"/>
    </xf>
    <xf numFmtId="0" fontId="38" fillId="4" borderId="0" xfId="0" applyFont="1" applyFill="1" applyAlignment="1">
      <alignment horizontal="center"/>
    </xf>
    <xf numFmtId="169" fontId="5" fillId="4" borderId="0" xfId="0" applyNumberFormat="1" applyFont="1" applyFill="1" applyAlignment="1">
      <alignment horizontal="center"/>
    </xf>
    <xf numFmtId="0" fontId="0" fillId="4" borderId="0" xfId="0" applyFill="1"/>
    <xf numFmtId="0" fontId="0" fillId="5" borderId="0" xfId="0" applyFill="1"/>
    <xf numFmtId="179" fontId="0" fillId="12" borderId="0" xfId="0" quotePrefix="1" applyNumberFormat="1" applyFill="1"/>
    <xf numFmtId="169" fontId="39" fillId="4" borderId="9" xfId="0" applyNumberFormat="1" applyFont="1" applyFill="1" applyBorder="1" applyAlignment="1">
      <alignment horizontal="center"/>
    </xf>
    <xf numFmtId="169" fontId="39" fillId="5" borderId="9" xfId="0" applyNumberFormat="1" applyFont="1" applyFill="1" applyBorder="1" applyAlignment="1">
      <alignment horizontal="center"/>
    </xf>
    <xf numFmtId="169" fontId="39" fillId="4" borderId="7" xfId="0" applyNumberFormat="1" applyFont="1" applyFill="1" applyBorder="1" applyAlignment="1">
      <alignment horizontal="center"/>
    </xf>
    <xf numFmtId="0" fontId="29" fillId="10" borderId="0" xfId="0" applyFont="1" applyFill="1"/>
    <xf numFmtId="0" fontId="20" fillId="23" borderId="0" xfId="0" applyFont="1" applyFill="1"/>
    <xf numFmtId="0" fontId="19" fillId="8" borderId="0" xfId="0" applyFont="1" applyFill="1" applyAlignment="1">
      <alignment horizontal="center"/>
    </xf>
    <xf numFmtId="0" fontId="0" fillId="0" borderId="0" xfId="0"/>
    <xf numFmtId="0" fontId="30" fillId="0" borderId="0" xfId="0" applyFo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8" fillId="3" borderId="3" xfId="0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/>
    </xf>
    <xf numFmtId="0" fontId="0" fillId="0" borderId="5" xfId="0" applyBorder="1"/>
    <xf numFmtId="0" fontId="9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6" xfId="0" applyBorder="1"/>
    <xf numFmtId="0" fontId="4" fillId="3" borderId="7" xfId="0" applyFont="1" applyFill="1" applyBorder="1" applyAlignment="1">
      <alignment horizontal="left" vertical="center"/>
    </xf>
    <xf numFmtId="0" fontId="31" fillId="35" borderId="0" xfId="0" applyFont="1" applyFill="1" applyAlignment="1">
      <alignment horizontal="center"/>
    </xf>
    <xf numFmtId="0" fontId="25" fillId="19" borderId="0" xfId="0" applyFont="1" applyFill="1" applyAlignment="1">
      <alignment horizontal="center"/>
    </xf>
    <xf numFmtId="0" fontId="18" fillId="17" borderId="0" xfId="0" applyFont="1" applyFill="1"/>
    <xf numFmtId="0" fontId="18" fillId="18" borderId="0" xfId="0" applyFont="1" applyFill="1"/>
    <xf numFmtId="0" fontId="17" fillId="10" borderId="0" xfId="0" applyFont="1" applyFill="1"/>
    <xf numFmtId="0" fontId="23" fillId="0" borderId="0" xfId="0" applyFont="1"/>
    <xf numFmtId="0" fontId="22" fillId="0" borderId="0" xfId="0" applyFont="1"/>
    <xf numFmtId="0" fontId="24" fillId="0" borderId="0" xfId="0" applyFont="1"/>
    <xf numFmtId="0" fontId="20" fillId="8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0" fontId="0" fillId="0" borderId="11" xfId="0" applyBorder="1"/>
    <xf numFmtId="0" fontId="18" fillId="22" borderId="0" xfId="0" applyFont="1" applyFill="1"/>
    <xf numFmtId="0" fontId="20" fillId="9" borderId="0" xfId="0" applyFont="1" applyFill="1"/>
    <xf numFmtId="0" fontId="27" fillId="11" borderId="0" xfId="0" applyFont="1" applyFill="1"/>
    <xf numFmtId="0" fontId="18" fillId="21" borderId="0" xfId="0" applyFont="1" applyFill="1"/>
    <xf numFmtId="0" fontId="17" fillId="0" borderId="0" xfId="0" applyFont="1"/>
    <xf numFmtId="0" fontId="17" fillId="10" borderId="11" xfId="0" applyFont="1" applyFill="1" applyBorder="1"/>
    <xf numFmtId="0" fontId="31" fillId="27" borderId="0" xfId="0" applyFont="1" applyFill="1" applyAlignment="1">
      <alignment horizontal="center"/>
    </xf>
    <xf numFmtId="0" fontId="32" fillId="16" borderId="0" xfId="0" applyFont="1" applyFill="1"/>
    <xf numFmtId="0" fontId="0" fillId="31" borderId="0" xfId="0" applyFill="1"/>
    <xf numFmtId="0" fontId="17" fillId="12" borderId="0" xfId="0" applyFont="1" applyFill="1"/>
    <xf numFmtId="0" fontId="0" fillId="32" borderId="0" xfId="0" applyFill="1"/>
    <xf numFmtId="169" fontId="5" fillId="5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14"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9" name="BtnCript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7172" name="BtnSmallCap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42F440-40A0-4A44-BA47-76DFAF0CF37C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849a048-57a3-4ec0-9fc3-bbc517a9013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F22"/>
  <sheetViews>
    <sheetView topLeftCell="A5" workbookViewId="0">
      <selection activeCell="H14" sqref="H14"/>
    </sheetView>
  </sheetViews>
  <sheetFormatPr defaultRowHeight="14.4" x14ac:dyDescent="0.3"/>
  <cols>
    <col min="1" max="1" width="3" customWidth="1"/>
    <col min="2" max="2" width="28" customWidth="1"/>
    <col min="3" max="4" width="22" customWidth="1"/>
    <col min="5" max="5" width="9.6640625" bestFit="1" customWidth="1"/>
  </cols>
  <sheetData>
    <row r="1" spans="1:6" ht="18" customHeight="1" x14ac:dyDescent="0.3">
      <c r="A1" s="2"/>
      <c r="B1" s="2"/>
      <c r="C1" s="2"/>
      <c r="D1" s="2"/>
      <c r="E1" s="2"/>
    </row>
    <row r="2" spans="1:6" x14ac:dyDescent="0.3">
      <c r="A2" s="2"/>
      <c r="B2" s="126" t="s">
        <v>17</v>
      </c>
      <c r="C2" s="124"/>
      <c r="D2" s="125"/>
      <c r="E2" s="2"/>
    </row>
    <row r="3" spans="1:6" ht="18" customHeight="1" x14ac:dyDescent="0.3">
      <c r="A3" s="2"/>
      <c r="B3" s="2"/>
      <c r="C3" s="2"/>
      <c r="D3" s="2"/>
      <c r="E3" s="2"/>
    </row>
    <row r="4" spans="1:6" ht="15.6" customHeight="1" x14ac:dyDescent="0.3">
      <c r="A4" s="2"/>
      <c r="B4" s="3" t="s">
        <v>1</v>
      </c>
      <c r="C4" s="3" t="s">
        <v>18</v>
      </c>
      <c r="D4" s="24" t="s">
        <v>3</v>
      </c>
      <c r="E4" s="25" t="s">
        <v>31</v>
      </c>
    </row>
    <row r="5" spans="1:6" ht="18" customHeight="1" x14ac:dyDescent="0.3">
      <c r="A5" s="2"/>
      <c r="B5" s="2"/>
      <c r="C5" s="2"/>
      <c r="D5" s="2"/>
      <c r="E5" s="2"/>
    </row>
    <row r="6" spans="1:6" x14ac:dyDescent="0.3">
      <c r="A6" s="1"/>
      <c r="B6" s="8" t="s">
        <v>19</v>
      </c>
      <c r="C6" s="10">
        <v>81151.724199999997</v>
      </c>
      <c r="D6" s="26">
        <f t="shared" ref="D6:D15" si="0">C6*$C$19</f>
        <v>397115.96237270004</v>
      </c>
      <c r="E6" s="22">
        <v>4.4700988839217921E-3</v>
      </c>
      <c r="F6" s="112"/>
    </row>
    <row r="7" spans="1:6" x14ac:dyDescent="0.3">
      <c r="A7" s="1"/>
      <c r="B7" s="9" t="s">
        <v>20</v>
      </c>
      <c r="C7" s="11">
        <v>2317.3564000000001</v>
      </c>
      <c r="D7" s="27">
        <f t="shared" si="0"/>
        <v>11339.983543400002</v>
      </c>
      <c r="E7" s="23">
        <v>1.0973935747401046E-2</v>
      </c>
      <c r="F7" s="113"/>
    </row>
    <row r="8" spans="1:6" x14ac:dyDescent="0.3">
      <c r="A8" s="1"/>
      <c r="B8" s="8" t="s">
        <v>21</v>
      </c>
      <c r="C8" s="10">
        <v>683.52449999999999</v>
      </c>
      <c r="D8" s="26">
        <f t="shared" si="0"/>
        <v>3344.8271407500001</v>
      </c>
      <c r="E8" s="22">
        <v>3.3028129735692913E-2</v>
      </c>
      <c r="F8" s="112"/>
    </row>
    <row r="9" spans="1:6" x14ac:dyDescent="0.3">
      <c r="A9" s="1"/>
      <c r="B9" s="9" t="s">
        <v>22</v>
      </c>
      <c r="C9" s="11">
        <v>4694.3247000000001</v>
      </c>
      <c r="D9" s="27">
        <f t="shared" si="0"/>
        <v>22971.677919450001</v>
      </c>
      <c r="E9" s="116">
        <v>-5.5097922122855929E-4</v>
      </c>
      <c r="F9" s="113"/>
    </row>
    <row r="10" spans="1:6" x14ac:dyDescent="0.3">
      <c r="A10" s="1"/>
      <c r="B10" s="8" t="s">
        <v>23</v>
      </c>
      <c r="C10" s="10">
        <v>99.597200000000001</v>
      </c>
      <c r="D10" s="26">
        <f t="shared" si="0"/>
        <v>487.37889820000004</v>
      </c>
      <c r="E10" s="22">
        <v>9.1268693034553677E-3</v>
      </c>
      <c r="F10" s="112"/>
    </row>
    <row r="11" spans="1:6" x14ac:dyDescent="0.3">
      <c r="A11" s="1"/>
      <c r="B11" s="9" t="s">
        <v>24</v>
      </c>
      <c r="C11" s="11">
        <v>10.684200000000001</v>
      </c>
      <c r="D11" s="27">
        <f t="shared" si="0"/>
        <v>52.28313270000001</v>
      </c>
      <c r="E11" s="23">
        <v>3.3788266674566157E-2</v>
      </c>
      <c r="F11" s="113"/>
    </row>
    <row r="12" spans="1:6" x14ac:dyDescent="0.3">
      <c r="A12" s="1"/>
      <c r="B12" s="8" t="s">
        <v>25</v>
      </c>
      <c r="C12" s="10">
        <v>10.1251</v>
      </c>
      <c r="D12" s="26">
        <f t="shared" si="0"/>
        <v>49.54717685</v>
      </c>
      <c r="E12" s="22">
        <v>2.142014085131384E-2</v>
      </c>
      <c r="F12" s="112"/>
    </row>
    <row r="13" spans="1:6" x14ac:dyDescent="0.3">
      <c r="A13" s="1"/>
      <c r="B13" s="9" t="s">
        <v>26</v>
      </c>
      <c r="C13" s="11">
        <v>1.6181000000000001</v>
      </c>
      <c r="D13" s="27">
        <f t="shared" si="0"/>
        <v>7.9181723500000007</v>
      </c>
      <c r="E13" s="23">
        <v>1.2542050758337017E-2</v>
      </c>
      <c r="F13" s="113"/>
    </row>
    <row r="14" spans="1:6" x14ac:dyDescent="0.3">
      <c r="A14" s="1"/>
      <c r="B14" s="8" t="s">
        <v>27</v>
      </c>
      <c r="C14" s="10">
        <v>95.497</v>
      </c>
      <c r="D14" s="26">
        <f t="shared" si="0"/>
        <v>467.31456950000006</v>
      </c>
      <c r="E14" s="115">
        <v>-3.5244239674053742E-3</v>
      </c>
      <c r="F14" s="112"/>
    </row>
    <row r="15" spans="1:6" x14ac:dyDescent="0.3">
      <c r="A15" s="1"/>
      <c r="B15" s="9" t="s">
        <v>28</v>
      </c>
      <c r="C15" s="11">
        <v>1.4654</v>
      </c>
      <c r="D15" s="27">
        <f t="shared" si="0"/>
        <v>7.1709349000000007</v>
      </c>
      <c r="E15" s="155">
        <v>5.6327148627416477E-3</v>
      </c>
      <c r="F15" s="113"/>
    </row>
    <row r="16" spans="1:6" ht="28.05" customHeight="1" x14ac:dyDescent="0.3">
      <c r="A16" s="2"/>
      <c r="B16" s="2"/>
      <c r="C16" s="2"/>
      <c r="D16" s="2"/>
      <c r="E16" s="2"/>
    </row>
    <row r="17" spans="1:5" ht="13.95" customHeight="1" x14ac:dyDescent="0.3">
      <c r="A17" s="2"/>
      <c r="B17" s="2"/>
      <c r="C17" s="2"/>
      <c r="D17" s="2"/>
      <c r="E17" s="2"/>
    </row>
    <row r="18" spans="1:5" x14ac:dyDescent="0.3">
      <c r="A18" s="2"/>
      <c r="B18" s="4" t="s">
        <v>29</v>
      </c>
      <c r="C18" s="2"/>
      <c r="D18" s="4" t="s">
        <v>16</v>
      </c>
      <c r="E18" s="2"/>
    </row>
    <row r="19" spans="1:5" x14ac:dyDescent="0.3">
      <c r="A19" s="2"/>
      <c r="B19" s="2"/>
      <c r="C19" s="5">
        <v>4.8935000000000004</v>
      </c>
      <c r="D19" s="12" t="s">
        <v>251</v>
      </c>
      <c r="E19" s="2"/>
    </row>
    <row r="20" spans="1:5" ht="18" customHeight="1" x14ac:dyDescent="0.3">
      <c r="A20" s="2"/>
      <c r="B20" s="2"/>
      <c r="C20" s="2"/>
      <c r="D20" s="2"/>
      <c r="E20" s="2"/>
    </row>
    <row r="21" spans="1:5" x14ac:dyDescent="0.3">
      <c r="A21" s="2"/>
      <c r="B21" s="123" t="s">
        <v>30</v>
      </c>
      <c r="C21" s="124"/>
      <c r="D21" s="125"/>
      <c r="E21" s="2"/>
    </row>
    <row r="22" spans="1:5" x14ac:dyDescent="0.3">
      <c r="A22" s="1"/>
      <c r="B22" s="1"/>
      <c r="C22" s="1"/>
      <c r="D22" s="1"/>
      <c r="E22" s="1"/>
    </row>
  </sheetData>
  <mergeCells count="2">
    <mergeCell ref="B21:D21"/>
    <mergeCell ref="B2:D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Cripto">
              <controlPr defaultSize="0" print="0" autoFill="0" autoPict="0" macro="[0]!AtualizarPrecos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F19"/>
  <sheetViews>
    <sheetView workbookViewId="0">
      <selection activeCell="H14" sqref="H14"/>
    </sheetView>
  </sheetViews>
  <sheetFormatPr defaultRowHeight="14.4" x14ac:dyDescent="0.3"/>
  <cols>
    <col min="1" max="1" width="3" customWidth="1"/>
    <col min="2" max="2" width="30" customWidth="1"/>
    <col min="3" max="4" width="20" customWidth="1"/>
    <col min="5" max="5" width="22" customWidth="1"/>
    <col min="6" max="6" width="8.88671875" bestFit="1" customWidth="1"/>
  </cols>
  <sheetData>
    <row r="1" spans="1:6" ht="12" customHeight="1" x14ac:dyDescent="0.3">
      <c r="A1" s="2"/>
      <c r="B1" s="2"/>
      <c r="C1" s="2"/>
      <c r="D1" s="2"/>
      <c r="E1" s="2"/>
      <c r="F1" s="2"/>
    </row>
    <row r="2" spans="1:6" ht="21" customHeight="1" x14ac:dyDescent="0.3">
      <c r="A2" s="2"/>
      <c r="B2" s="130" t="s">
        <v>0</v>
      </c>
      <c r="C2" s="131"/>
      <c r="D2" s="131"/>
      <c r="E2" s="128"/>
      <c r="F2" s="2"/>
    </row>
    <row r="3" spans="1:6" ht="12" customHeight="1" x14ac:dyDescent="0.3">
      <c r="A3" s="2"/>
      <c r="B3" s="2"/>
      <c r="C3" s="2"/>
      <c r="D3" s="2"/>
      <c r="E3" s="2"/>
      <c r="F3" s="2"/>
    </row>
    <row r="4" spans="1:6" x14ac:dyDescent="0.3">
      <c r="A4" s="2"/>
      <c r="B4" s="6" t="s">
        <v>1</v>
      </c>
      <c r="C4" s="6" t="s">
        <v>2</v>
      </c>
      <c r="D4" s="6" t="s">
        <v>3</v>
      </c>
      <c r="E4" s="18" t="s">
        <v>4</v>
      </c>
      <c r="F4" s="19" t="s">
        <v>31</v>
      </c>
    </row>
    <row r="5" spans="1:6" ht="12" customHeight="1" x14ac:dyDescent="0.3">
      <c r="A5" s="2"/>
      <c r="B5" s="2"/>
      <c r="C5" s="2"/>
      <c r="D5" s="2"/>
      <c r="E5" s="2"/>
      <c r="F5" s="2"/>
    </row>
    <row r="6" spans="1:6" x14ac:dyDescent="0.3">
      <c r="A6" s="1"/>
      <c r="B6" s="8" t="s">
        <v>5</v>
      </c>
      <c r="C6" s="13">
        <v>1.9482999999999999</v>
      </c>
      <c r="D6" s="14">
        <f t="shared" ref="D6:D11" si="0">C6*$C$13</f>
        <v>9.5340060500000003</v>
      </c>
      <c r="E6" s="20" t="s">
        <v>6</v>
      </c>
      <c r="F6" s="22">
        <v>1.2273943397331417E-2</v>
      </c>
    </row>
    <row r="7" spans="1:6" x14ac:dyDescent="0.3">
      <c r="A7" s="1"/>
      <c r="B7" s="9" t="s">
        <v>7</v>
      </c>
      <c r="C7" s="15">
        <v>5.9169999999999998</v>
      </c>
      <c r="D7" s="16">
        <f t="shared" si="0"/>
        <v>28.954839500000002</v>
      </c>
      <c r="E7" s="21" t="s">
        <v>8</v>
      </c>
      <c r="F7" s="23">
        <v>0.22079087307419257</v>
      </c>
    </row>
    <row r="8" spans="1:6" x14ac:dyDescent="0.3">
      <c r="A8" s="1"/>
      <c r="B8" s="8" t="s">
        <v>9</v>
      </c>
      <c r="C8" s="13">
        <v>0.50609999999999999</v>
      </c>
      <c r="D8" s="14">
        <f t="shared" si="0"/>
        <v>2.47660035</v>
      </c>
      <c r="E8" s="20" t="s">
        <v>10</v>
      </c>
      <c r="F8" s="22">
        <v>0.11328465163747235</v>
      </c>
    </row>
    <row r="9" spans="1:6" x14ac:dyDescent="0.3">
      <c r="A9" s="1"/>
      <c r="B9" s="9" t="s">
        <v>11</v>
      </c>
      <c r="C9" s="15">
        <v>2.9399999999999999E-2</v>
      </c>
      <c r="D9" s="16">
        <f t="shared" si="0"/>
        <v>0.14386889999999999</v>
      </c>
      <c r="E9" s="21" t="s">
        <v>12</v>
      </c>
      <c r="F9" s="23">
        <v>1.8945564583437841E-2</v>
      </c>
    </row>
    <row r="10" spans="1:6" x14ac:dyDescent="0.3">
      <c r="A10" s="1"/>
      <c r="B10" s="8" t="s">
        <v>13</v>
      </c>
      <c r="C10" s="13">
        <v>7.0499999999999993E-2</v>
      </c>
      <c r="D10" s="14">
        <f t="shared" si="0"/>
        <v>0.34499174999999999</v>
      </c>
      <c r="E10" s="20" t="s">
        <v>14</v>
      </c>
      <c r="F10" s="117">
        <v>-1.5926486993066556E-2</v>
      </c>
    </row>
    <row r="11" spans="1:6" ht="12" customHeight="1" x14ac:dyDescent="0.3">
      <c r="A11" s="2"/>
      <c r="B11" s="107" t="s">
        <v>243</v>
      </c>
      <c r="C11" s="108">
        <v>1</v>
      </c>
      <c r="D11" s="109">
        <f t="shared" si="0"/>
        <v>4.8935000000000004</v>
      </c>
      <c r="E11" s="110" t="s">
        <v>244</v>
      </c>
      <c r="F11" s="111">
        <v>3.8699999999999998E-2</v>
      </c>
    </row>
    <row r="12" spans="1:6" x14ac:dyDescent="0.3">
      <c r="A12" s="2"/>
      <c r="B12" s="132" t="s">
        <v>15</v>
      </c>
      <c r="C12" s="128"/>
      <c r="D12" s="132" t="s">
        <v>16</v>
      </c>
      <c r="E12" s="128"/>
      <c r="F12" s="2"/>
    </row>
    <row r="13" spans="1:6" x14ac:dyDescent="0.3">
      <c r="A13" s="2"/>
      <c r="B13" s="2"/>
      <c r="C13" s="7">
        <v>4.8935000000000004</v>
      </c>
      <c r="D13" s="127" t="s">
        <v>252</v>
      </c>
      <c r="E13" s="128"/>
      <c r="F13" s="2"/>
    </row>
    <row r="14" spans="1:6" ht="28.05" customHeight="1" x14ac:dyDescent="0.3">
      <c r="A14" s="2"/>
      <c r="B14" s="2"/>
      <c r="C14" s="17"/>
      <c r="D14" s="2"/>
      <c r="E14" s="2"/>
      <c r="F14" s="2"/>
    </row>
    <row r="15" spans="1:6" x14ac:dyDescent="0.3">
      <c r="A15" s="2"/>
      <c r="B15" s="129"/>
      <c r="C15" s="121"/>
      <c r="D15" s="121"/>
      <c r="E15" s="121"/>
      <c r="F15" s="2"/>
    </row>
    <row r="16" spans="1:6" x14ac:dyDescent="0.3">
      <c r="A16" s="2"/>
      <c r="B16" s="129"/>
      <c r="C16" s="121"/>
      <c r="D16" s="121"/>
      <c r="E16" s="121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</sheetData>
  <mergeCells count="6">
    <mergeCell ref="D13:E13"/>
    <mergeCell ref="B16:E16"/>
    <mergeCell ref="B15:E15"/>
    <mergeCell ref="B2:E2"/>
    <mergeCell ref="D12:E12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tnSmallCap">
              <controlPr defaultSize="0" print="0" autoFill="0" autoPict="0" macro="[0]!AtualizarSmallCa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1BA5-FA4A-43FF-B0F2-B2B16B3EC95C}">
  <sheetPr codeName="Planilha1"/>
  <dimension ref="B2:P29"/>
  <sheetViews>
    <sheetView topLeftCell="A2" zoomScale="117" zoomScaleNormal="117" workbookViewId="0">
      <selection activeCell="O13" sqref="O13"/>
    </sheetView>
  </sheetViews>
  <sheetFormatPr defaultRowHeight="14.4" x14ac:dyDescent="0.3"/>
  <cols>
    <col min="2" max="2" width="22.21875" customWidth="1"/>
    <col min="3" max="4" width="14.77734375" customWidth="1"/>
    <col min="5" max="5" width="12" customWidth="1"/>
    <col min="6" max="6" width="18.5546875" customWidth="1"/>
    <col min="7" max="8" width="15.77734375" customWidth="1"/>
    <col min="9" max="9" width="13" customWidth="1"/>
    <col min="10" max="10" width="13.88671875" customWidth="1"/>
    <col min="11" max="13" width="15.77734375" customWidth="1"/>
    <col min="14" max="14" width="17.5546875" customWidth="1"/>
    <col min="15" max="16" width="13.88671875" customWidth="1"/>
  </cols>
  <sheetData>
    <row r="2" spans="2:16" ht="34.950000000000003" customHeight="1" x14ac:dyDescent="0.35">
      <c r="B2" s="133" t="s">
        <v>242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</row>
    <row r="4" spans="2:16" x14ac:dyDescent="0.3">
      <c r="B4" s="137" t="s">
        <v>32</v>
      </c>
      <c r="C4" s="121"/>
      <c r="D4" s="121"/>
    </row>
    <row r="5" spans="2:16" x14ac:dyDescent="0.3">
      <c r="B5" s="32" t="s">
        <v>33</v>
      </c>
      <c r="C5" s="32" t="s">
        <v>34</v>
      </c>
      <c r="D5" s="32" t="s">
        <v>31</v>
      </c>
    </row>
    <row r="6" spans="2:16" x14ac:dyDescent="0.3">
      <c r="B6" t="s">
        <v>19</v>
      </c>
      <c r="C6" t="s">
        <v>73</v>
      </c>
      <c r="D6" s="33" t="s">
        <v>74</v>
      </c>
    </row>
    <row r="7" spans="2:16" x14ac:dyDescent="0.3">
      <c r="B7" t="s">
        <v>20</v>
      </c>
      <c r="C7" t="s">
        <v>75</v>
      </c>
      <c r="D7" s="33" t="s">
        <v>76</v>
      </c>
    </row>
    <row r="8" spans="2:16" x14ac:dyDescent="0.3">
      <c r="B8" t="s">
        <v>27</v>
      </c>
      <c r="C8" t="s">
        <v>77</v>
      </c>
      <c r="D8" s="34" t="s">
        <v>78</v>
      </c>
    </row>
    <row r="10" spans="2:16" ht="15.6" x14ac:dyDescent="0.3">
      <c r="B10" s="141" t="s">
        <v>38</v>
      </c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</row>
    <row r="11" spans="2:16" ht="30" customHeight="1" x14ac:dyDescent="0.3">
      <c r="B11" s="35" t="s">
        <v>1</v>
      </c>
      <c r="C11" s="35" t="s">
        <v>44</v>
      </c>
      <c r="D11" s="35" t="s">
        <v>45</v>
      </c>
      <c r="E11" s="35" t="s">
        <v>46</v>
      </c>
      <c r="F11" s="35" t="s">
        <v>39</v>
      </c>
      <c r="G11" s="35" t="s">
        <v>40</v>
      </c>
      <c r="H11" s="45" t="s">
        <v>175</v>
      </c>
      <c r="I11" s="35" t="s">
        <v>35</v>
      </c>
      <c r="J11" s="35" t="s">
        <v>47</v>
      </c>
      <c r="K11" s="35" t="s">
        <v>41</v>
      </c>
      <c r="L11" s="35" t="s">
        <v>48</v>
      </c>
      <c r="M11" s="99" t="s">
        <v>103</v>
      </c>
      <c r="N11" s="101" t="s">
        <v>104</v>
      </c>
      <c r="O11" s="100" t="s">
        <v>105</v>
      </c>
      <c r="P11" s="100" t="s">
        <v>106</v>
      </c>
    </row>
    <row r="12" spans="2:16" x14ac:dyDescent="0.3">
      <c r="B12" s="30" t="s">
        <v>5</v>
      </c>
      <c r="C12" s="53">
        <v>1.7887</v>
      </c>
      <c r="D12" s="50">
        <v>8.91</v>
      </c>
      <c r="E12" s="38" t="s">
        <v>68</v>
      </c>
      <c r="F12" s="36" t="s">
        <v>43</v>
      </c>
      <c r="G12" s="93">
        <v>200</v>
      </c>
      <c r="H12" s="48">
        <f>IF(G12&gt;0,G12/4.98,0)</f>
        <v>40.160642570281119</v>
      </c>
      <c r="I12" s="49">
        <f>IF(AND(H12&gt;0,C12&gt;0),H12/C12,0)</f>
        <v>22.452419394130441</v>
      </c>
      <c r="J12" s="31">
        <f>I12*24</f>
        <v>538.85806545913056</v>
      </c>
      <c r="K12" s="50">
        <f>G12*24</f>
        <v>4800</v>
      </c>
      <c r="L12" s="50">
        <f>K12*3</f>
        <v>14400</v>
      </c>
      <c r="M12" s="102" t="s">
        <v>226</v>
      </c>
      <c r="N12" s="102" t="s">
        <v>227</v>
      </c>
      <c r="O12" s="103" t="s">
        <v>228</v>
      </c>
      <c r="P12" s="104" t="s">
        <v>36</v>
      </c>
    </row>
    <row r="13" spans="2:16" x14ac:dyDescent="0.3">
      <c r="B13" s="30" t="s">
        <v>7</v>
      </c>
      <c r="C13" s="53">
        <v>3.2827000000000002</v>
      </c>
      <c r="D13" s="50">
        <v>16.350000000000001</v>
      </c>
      <c r="E13" s="38" t="s">
        <v>69</v>
      </c>
      <c r="F13" s="36" t="s">
        <v>43</v>
      </c>
      <c r="G13" s="93">
        <v>0</v>
      </c>
      <c r="H13" s="48">
        <f>IF(G13&gt;0,G13/4.98,0)</f>
        <v>0</v>
      </c>
      <c r="I13" s="49">
        <f>IF(AND(H13&gt;0,C13&gt;0),H13/C13,0)</f>
        <v>0</v>
      </c>
      <c r="J13" s="31">
        <f>I13*24</f>
        <v>0</v>
      </c>
      <c r="K13" s="50">
        <f>G13*24</f>
        <v>0</v>
      </c>
      <c r="L13" s="50">
        <f>K13*3</f>
        <v>0</v>
      </c>
      <c r="M13" s="102" t="s">
        <v>229</v>
      </c>
      <c r="N13" s="102" t="s">
        <v>230</v>
      </c>
      <c r="O13" s="103" t="s">
        <v>231</v>
      </c>
      <c r="P13" s="104" t="s">
        <v>36</v>
      </c>
    </row>
    <row r="14" spans="2:16" x14ac:dyDescent="0.3">
      <c r="B14" s="30" t="s">
        <v>9</v>
      </c>
      <c r="C14" s="53">
        <v>0.40600000000000003</v>
      </c>
      <c r="D14" s="50">
        <v>2.02</v>
      </c>
      <c r="E14" s="39" t="s">
        <v>70</v>
      </c>
      <c r="F14" s="37" t="s">
        <v>43</v>
      </c>
      <c r="G14" s="93">
        <v>0</v>
      </c>
      <c r="H14" s="48">
        <f>IF(G14&gt;0,G14/4.98,0)</f>
        <v>0</v>
      </c>
      <c r="I14" s="49">
        <f>IF(AND(H14&gt;0,C14&gt;0),H14/C14,0)</f>
        <v>0</v>
      </c>
      <c r="J14" s="31">
        <f>I14*24</f>
        <v>0</v>
      </c>
      <c r="K14" s="50">
        <f>G14*24</f>
        <v>0</v>
      </c>
      <c r="L14" s="50">
        <f>K14*3</f>
        <v>0</v>
      </c>
      <c r="M14" s="102" t="s">
        <v>232</v>
      </c>
      <c r="N14" s="102" t="s">
        <v>233</v>
      </c>
      <c r="O14" s="103" t="s">
        <v>234</v>
      </c>
      <c r="P14" s="105" t="s">
        <v>37</v>
      </c>
    </row>
    <row r="15" spans="2:16" x14ac:dyDescent="0.3">
      <c r="B15" s="30" t="s">
        <v>11</v>
      </c>
      <c r="C15" s="53">
        <v>2.4899999999999999E-2</v>
      </c>
      <c r="D15" s="50">
        <v>0.12</v>
      </c>
      <c r="E15" s="39" t="s">
        <v>71</v>
      </c>
      <c r="F15" s="37" t="s">
        <v>43</v>
      </c>
      <c r="G15" s="93">
        <v>0</v>
      </c>
      <c r="H15" s="48">
        <f>IF(G15&gt;0,G15/4.98,0)</f>
        <v>0</v>
      </c>
      <c r="I15" s="49">
        <f>IF(AND(H15&gt;0,C15&gt;0),H15/C15,0)</f>
        <v>0</v>
      </c>
      <c r="J15" s="31">
        <f>I15*24</f>
        <v>0</v>
      </c>
      <c r="K15" s="50">
        <f>G15*24</f>
        <v>0</v>
      </c>
      <c r="L15" s="50">
        <f>K15*3</f>
        <v>0</v>
      </c>
      <c r="M15" s="102" t="s">
        <v>235</v>
      </c>
      <c r="N15" s="102" t="s">
        <v>236</v>
      </c>
      <c r="O15" s="103" t="s">
        <v>237</v>
      </c>
      <c r="P15" s="105" t="s">
        <v>37</v>
      </c>
    </row>
    <row r="16" spans="2:16" x14ac:dyDescent="0.3">
      <c r="B16" s="30" t="s">
        <v>13</v>
      </c>
      <c r="C16" s="53">
        <v>5.5399999999999998E-2</v>
      </c>
      <c r="D16" s="50">
        <v>0.28000000000000003</v>
      </c>
      <c r="E16" s="39" t="s">
        <v>72</v>
      </c>
      <c r="F16" s="37" t="s">
        <v>43</v>
      </c>
      <c r="G16" s="93">
        <v>0</v>
      </c>
      <c r="H16" s="48">
        <f>IF(G16&gt;0,G16/4.98,0)</f>
        <v>0</v>
      </c>
      <c r="I16" s="49">
        <f>IF(AND(H16&gt;0,C16&gt;0),H16/C16,0)</f>
        <v>0</v>
      </c>
      <c r="J16" s="31">
        <f>I16*24</f>
        <v>0</v>
      </c>
      <c r="K16" s="50">
        <f>G16*24</f>
        <v>0</v>
      </c>
      <c r="L16" s="50">
        <f>K16*3</f>
        <v>0</v>
      </c>
      <c r="M16" s="102" t="s">
        <v>238</v>
      </c>
      <c r="N16" s="102" t="s">
        <v>239</v>
      </c>
      <c r="O16" s="103" t="s">
        <v>240</v>
      </c>
      <c r="P16" s="106" t="s">
        <v>241</v>
      </c>
    </row>
    <row r="18" spans="2:12" x14ac:dyDescent="0.3">
      <c r="B18" s="135" t="s">
        <v>49</v>
      </c>
      <c r="C18" s="121"/>
      <c r="D18" s="121"/>
      <c r="E18" s="121"/>
      <c r="G18" s="136" t="s">
        <v>53</v>
      </c>
      <c r="H18" s="136"/>
      <c r="I18" s="121"/>
      <c r="J18" s="121"/>
      <c r="K18" s="121"/>
      <c r="L18" s="121"/>
    </row>
    <row r="19" spans="2:12" x14ac:dyDescent="0.3">
      <c r="B19" t="s">
        <v>50</v>
      </c>
      <c r="D19" s="94">
        <f>SUM(G12:G16)</f>
        <v>200</v>
      </c>
      <c r="G19" t="s">
        <v>54</v>
      </c>
      <c r="J19" s="96">
        <v>1000</v>
      </c>
    </row>
    <row r="20" spans="2:12" x14ac:dyDescent="0.3">
      <c r="B20" t="s">
        <v>51</v>
      </c>
      <c r="D20" s="94">
        <f>SUM(K12:K16)</f>
        <v>4800</v>
      </c>
      <c r="G20" t="s">
        <v>55</v>
      </c>
      <c r="J20" s="87">
        <f>COUNTIF(F12:F16,"🟡 AGUARDAR")</f>
        <v>5</v>
      </c>
      <c r="K20" t="s">
        <v>56</v>
      </c>
    </row>
    <row r="21" spans="2:12" x14ac:dyDescent="0.3">
      <c r="B21" t="s">
        <v>52</v>
      </c>
      <c r="D21" s="95">
        <f>SUM(L12:L16)</f>
        <v>14400</v>
      </c>
      <c r="G21" t="s">
        <v>57</v>
      </c>
      <c r="J21" s="79">
        <f>IF(J20&gt;0,J19/J20,0)</f>
        <v>200</v>
      </c>
    </row>
    <row r="23" spans="2:12" x14ac:dyDescent="0.3">
      <c r="B23" s="137" t="s">
        <v>58</v>
      </c>
      <c r="C23" s="121"/>
      <c r="D23" s="121"/>
      <c r="E23" s="121"/>
      <c r="G23" s="137" t="s">
        <v>62</v>
      </c>
      <c r="H23" s="137"/>
      <c r="I23" s="121"/>
      <c r="J23" s="121"/>
      <c r="K23" s="121"/>
      <c r="L23" s="121"/>
    </row>
    <row r="24" spans="2:12" x14ac:dyDescent="0.3">
      <c r="B24" s="139" t="s">
        <v>59</v>
      </c>
      <c r="C24" s="121"/>
      <c r="D24" s="121"/>
      <c r="E24" s="121"/>
      <c r="G24" s="121" t="s">
        <v>63</v>
      </c>
      <c r="H24" s="121"/>
      <c r="I24" s="121"/>
      <c r="J24" s="121"/>
      <c r="K24" s="121"/>
      <c r="L24" s="121"/>
    </row>
    <row r="25" spans="2:12" x14ac:dyDescent="0.3">
      <c r="B25" s="138" t="s">
        <v>60</v>
      </c>
      <c r="C25" s="121"/>
      <c r="D25" s="121"/>
      <c r="E25" s="121"/>
      <c r="G25" s="121" t="s">
        <v>64</v>
      </c>
      <c r="H25" s="121"/>
      <c r="I25" s="121"/>
      <c r="J25" s="121"/>
      <c r="K25" s="121"/>
      <c r="L25" s="121"/>
    </row>
    <row r="26" spans="2:12" x14ac:dyDescent="0.3">
      <c r="B26" s="140" t="s">
        <v>61</v>
      </c>
      <c r="C26" s="121"/>
      <c r="D26" s="121"/>
      <c r="E26" s="121"/>
      <c r="G26" s="121" t="s">
        <v>65</v>
      </c>
      <c r="H26" s="121"/>
      <c r="I26" s="121"/>
      <c r="J26" s="121"/>
      <c r="K26" s="121"/>
      <c r="L26" s="121"/>
    </row>
    <row r="27" spans="2:12" x14ac:dyDescent="0.3">
      <c r="G27" s="121" t="s">
        <v>66</v>
      </c>
      <c r="H27" s="121"/>
      <c r="I27" s="121"/>
      <c r="J27" s="121"/>
      <c r="K27" s="121"/>
      <c r="L27" s="121"/>
    </row>
    <row r="29" spans="2:12" x14ac:dyDescent="0.3">
      <c r="B29" s="134" t="s">
        <v>67</v>
      </c>
      <c r="C29" s="121"/>
      <c r="D29" s="121"/>
      <c r="E29" s="121"/>
      <c r="F29" s="121"/>
      <c r="G29" s="121"/>
      <c r="H29" s="121"/>
      <c r="I29" s="121"/>
      <c r="J29" s="121"/>
      <c r="K29" s="121"/>
      <c r="L29" s="121"/>
    </row>
  </sheetData>
  <mergeCells count="15">
    <mergeCell ref="B2:P2"/>
    <mergeCell ref="G26:L26"/>
    <mergeCell ref="G27:L27"/>
    <mergeCell ref="B29:L29"/>
    <mergeCell ref="B18:E18"/>
    <mergeCell ref="G18:L18"/>
    <mergeCell ref="B23:E23"/>
    <mergeCell ref="B25:E25"/>
    <mergeCell ref="B4:D4"/>
    <mergeCell ref="B24:E24"/>
    <mergeCell ref="B26:E26"/>
    <mergeCell ref="G23:L23"/>
    <mergeCell ref="G24:L24"/>
    <mergeCell ref="G25:L25"/>
    <mergeCell ref="B10:P10"/>
  </mergeCells>
  <conditionalFormatting sqref="F12:F16">
    <cfRule type="containsText" dxfId="9" priority="1" operator="containsText" text="COMPRAR">
      <formula>NOT(ISERROR(SEARCH("COMPRAR",F12)))</formula>
    </cfRule>
  </conditionalFormatting>
  <conditionalFormatting sqref="F12:F16">
    <cfRule type="containsText" dxfId="8" priority="2" operator="containsText" text="AGUARDAR">
      <formula>NOT(ISERROR(SEARCH("AGUARDAR",F12)))</formula>
    </cfRule>
  </conditionalFormatting>
  <conditionalFormatting sqref="F12:F16">
    <cfRule type="containsText" dxfId="7" priority="3" operator="containsText" text="VENDER">
      <formula>NOT(ISERROR(SEARCH("VENDER",F12)))</formula>
    </cfRule>
  </conditionalFormatting>
  <dataValidations count="1">
    <dataValidation type="list" allowBlank="1" showInputMessage="1" showErrorMessage="1" errorTitle="Status Inválido" error="Por favor, selecione uma opção da lista: 🟢 COMPRAR, 🟡 AGUARDAR ou 🔴 VENDER" promptTitle="Selecione o Status" prompt="Clique na seta para escolher: COMPRAR, AGUARDAR ou VENDER" sqref="F12:F16" xr:uid="{362B5ACF-B4DA-4EE0-B45D-F6805A6C3DE1}">
      <formula1>$N$11:$N$13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0A31-B22C-4AB6-AB8C-85388A94862A}">
  <sheetPr codeName="Planilha2"/>
  <dimension ref="B2:N41"/>
  <sheetViews>
    <sheetView topLeftCell="A21" workbookViewId="0">
      <selection activeCell="F14" sqref="F14"/>
    </sheetView>
  </sheetViews>
  <sheetFormatPr defaultRowHeight="14.4" x14ac:dyDescent="0.3"/>
  <cols>
    <col min="1" max="1" width="2.77734375" customWidth="1"/>
    <col min="2" max="2" width="22.21875" customWidth="1"/>
    <col min="3" max="3" width="18.5546875" customWidth="1"/>
    <col min="4" max="4" width="21.5546875" bestFit="1" customWidth="1"/>
    <col min="5" max="5" width="14.77734375" customWidth="1"/>
    <col min="6" max="6" width="18.5546875" customWidth="1"/>
    <col min="7" max="7" width="19.109375" bestFit="1" customWidth="1"/>
    <col min="8" max="9" width="15.77734375" customWidth="1"/>
    <col min="10" max="10" width="14.77734375" customWidth="1"/>
    <col min="11" max="12" width="16.6640625" customWidth="1"/>
    <col min="13" max="13" width="14.77734375" customWidth="1"/>
    <col min="14" max="14" width="13" customWidth="1"/>
  </cols>
  <sheetData>
    <row r="2" spans="2:14" ht="21" x14ac:dyDescent="0.4">
      <c r="B2" s="120" t="s">
        <v>80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4" spans="2:14" ht="15.6" x14ac:dyDescent="0.3">
      <c r="B4" s="145" t="s">
        <v>81</v>
      </c>
      <c r="C4" s="121"/>
      <c r="D4" s="121"/>
      <c r="E4" s="121"/>
    </row>
    <row r="5" spans="2:14" x14ac:dyDescent="0.3">
      <c r="B5" s="40" t="s">
        <v>82</v>
      </c>
      <c r="C5" s="40" t="s">
        <v>83</v>
      </c>
      <c r="D5" s="40" t="s">
        <v>84</v>
      </c>
      <c r="E5" s="40" t="s">
        <v>85</v>
      </c>
    </row>
    <row r="6" spans="2:14" x14ac:dyDescent="0.3">
      <c r="B6" s="30" t="s">
        <v>86</v>
      </c>
      <c r="C6" s="30" t="s">
        <v>87</v>
      </c>
      <c r="D6" s="30" t="s">
        <v>88</v>
      </c>
      <c r="E6" s="30" t="s">
        <v>89</v>
      </c>
    </row>
    <row r="7" spans="2:14" x14ac:dyDescent="0.3">
      <c r="B7" s="30" t="s">
        <v>90</v>
      </c>
      <c r="C7" s="30" t="s">
        <v>91</v>
      </c>
      <c r="D7" s="30" t="s">
        <v>92</v>
      </c>
      <c r="E7" s="30" t="s">
        <v>93</v>
      </c>
    </row>
    <row r="8" spans="2:14" x14ac:dyDescent="0.3">
      <c r="B8" s="30" t="s">
        <v>94</v>
      </c>
      <c r="C8" s="30" t="s">
        <v>95</v>
      </c>
      <c r="D8" s="30" t="s">
        <v>96</v>
      </c>
      <c r="E8" s="30" t="s">
        <v>97</v>
      </c>
    </row>
    <row r="9" spans="2:14" x14ac:dyDescent="0.3">
      <c r="B9" s="30" t="s">
        <v>98</v>
      </c>
      <c r="C9" s="30" t="s">
        <v>99</v>
      </c>
      <c r="D9" s="30" t="s">
        <v>100</v>
      </c>
      <c r="E9" s="30" t="s">
        <v>101</v>
      </c>
    </row>
    <row r="11" spans="2:14" ht="15.6" x14ac:dyDescent="0.3">
      <c r="B11" s="145" t="s">
        <v>102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</row>
    <row r="12" spans="2:14" x14ac:dyDescent="0.3">
      <c r="B12" s="41" t="s">
        <v>1</v>
      </c>
      <c r="C12" s="41" t="s">
        <v>44</v>
      </c>
      <c r="D12" s="41" t="s">
        <v>45</v>
      </c>
      <c r="E12" s="41" t="s">
        <v>46</v>
      </c>
      <c r="F12" s="41" t="s">
        <v>39</v>
      </c>
      <c r="G12" s="41" t="s">
        <v>40</v>
      </c>
      <c r="H12" s="45" t="s">
        <v>175</v>
      </c>
      <c r="I12" s="45" t="s">
        <v>35</v>
      </c>
      <c r="J12" s="45" t="s">
        <v>47</v>
      </c>
      <c r="K12" s="41" t="s">
        <v>103</v>
      </c>
      <c r="L12" s="41" t="s">
        <v>104</v>
      </c>
      <c r="M12" s="41" t="s">
        <v>105</v>
      </c>
      <c r="N12" s="41" t="s">
        <v>106</v>
      </c>
    </row>
    <row r="13" spans="2:14" x14ac:dyDescent="0.3">
      <c r="B13" s="30" t="s">
        <v>24</v>
      </c>
      <c r="C13" s="52">
        <f>'Preços Crypto'!C11</f>
        <v>10.684200000000001</v>
      </c>
      <c r="D13" s="30">
        <f>'Preços Crypto'!D11</f>
        <v>52.28313270000001</v>
      </c>
      <c r="E13" s="30">
        <f>'Preços Crypto'!E11</f>
        <v>3.3788266674566157E-2</v>
      </c>
      <c r="F13" s="30" t="s">
        <v>42</v>
      </c>
      <c r="G13" s="97">
        <v>0</v>
      </c>
      <c r="H13" s="46">
        <f t="shared" ref="H13:H18" si="0">IF(G13&gt;0,G13/4.98,0)</f>
        <v>0</v>
      </c>
      <c r="I13" s="47">
        <f t="shared" ref="I13:I18" si="1">IF(AND(H13&gt;0,C13&gt;0),H13/C13,0)</f>
        <v>0</v>
      </c>
      <c r="J13" s="51">
        <f t="shared" ref="J13:J18" si="2">I13*24</f>
        <v>0</v>
      </c>
      <c r="K13" s="30" t="s">
        <v>107</v>
      </c>
      <c r="L13" s="30" t="s">
        <v>108</v>
      </c>
      <c r="M13" s="30" t="s">
        <v>109</v>
      </c>
      <c r="N13" s="30" t="s">
        <v>36</v>
      </c>
    </row>
    <row r="14" spans="2:14" x14ac:dyDescent="0.3">
      <c r="B14" s="30" t="s">
        <v>110</v>
      </c>
      <c r="C14" s="52">
        <f>'Preços Crypto'!C10</f>
        <v>99.597200000000001</v>
      </c>
      <c r="D14" s="30">
        <f>'Preços Crypto'!D10</f>
        <v>487.37889820000004</v>
      </c>
      <c r="E14" s="30">
        <f>'Preços Crypto'!E10</f>
        <v>9.1268693034553677E-3</v>
      </c>
      <c r="F14" s="30" t="s">
        <v>43</v>
      </c>
      <c r="G14" s="97">
        <v>0</v>
      </c>
      <c r="H14" s="46">
        <f t="shared" si="0"/>
        <v>0</v>
      </c>
      <c r="I14" s="47">
        <f t="shared" si="1"/>
        <v>0</v>
      </c>
      <c r="J14" s="51">
        <f t="shared" si="2"/>
        <v>0</v>
      </c>
      <c r="K14" s="30" t="s">
        <v>111</v>
      </c>
      <c r="L14" s="30" t="s">
        <v>112</v>
      </c>
      <c r="M14" s="30" t="s">
        <v>113</v>
      </c>
      <c r="N14" s="30" t="s">
        <v>36</v>
      </c>
    </row>
    <row r="15" spans="2:14" x14ac:dyDescent="0.3">
      <c r="B15" s="30" t="s">
        <v>25</v>
      </c>
      <c r="C15" s="52">
        <f>'Preços Crypto'!C12</f>
        <v>10.1251</v>
      </c>
      <c r="D15" s="30">
        <f>'Preços Crypto'!D12</f>
        <v>49.54717685</v>
      </c>
      <c r="E15" s="30">
        <f>'Preços Crypto'!E12</f>
        <v>2.142014085131384E-2</v>
      </c>
      <c r="F15" s="30" t="s">
        <v>42</v>
      </c>
      <c r="G15" s="97">
        <v>0</v>
      </c>
      <c r="H15" s="46">
        <f t="shared" si="0"/>
        <v>0</v>
      </c>
      <c r="I15" s="47">
        <f t="shared" si="1"/>
        <v>0</v>
      </c>
      <c r="J15" s="51">
        <f t="shared" si="2"/>
        <v>0</v>
      </c>
      <c r="K15" s="30" t="s">
        <v>114</v>
      </c>
      <c r="L15" s="30" t="s">
        <v>115</v>
      </c>
      <c r="M15" s="30" t="s">
        <v>116</v>
      </c>
      <c r="N15" s="30" t="s">
        <v>37</v>
      </c>
    </row>
    <row r="16" spans="2:14" x14ac:dyDescent="0.3">
      <c r="B16" s="30" t="s">
        <v>117</v>
      </c>
      <c r="C16" s="52">
        <f>'Preços Crypto'!C13</f>
        <v>1.6181000000000001</v>
      </c>
      <c r="D16" s="30">
        <f>'Preços Crypto'!D13</f>
        <v>7.9181723500000007</v>
      </c>
      <c r="E16" s="30">
        <f>'Preços Crypto'!E13</f>
        <v>1.2542050758337017E-2</v>
      </c>
      <c r="F16" s="30" t="s">
        <v>42</v>
      </c>
      <c r="G16" s="97">
        <v>0</v>
      </c>
      <c r="H16" s="46">
        <f t="shared" si="0"/>
        <v>0</v>
      </c>
      <c r="I16" s="47">
        <f t="shared" si="1"/>
        <v>0</v>
      </c>
      <c r="J16" s="51">
        <f t="shared" si="2"/>
        <v>0</v>
      </c>
      <c r="K16" s="30" t="s">
        <v>118</v>
      </c>
      <c r="L16" s="30" t="s">
        <v>119</v>
      </c>
      <c r="M16" s="30" t="s">
        <v>120</v>
      </c>
      <c r="N16" s="30" t="s">
        <v>37</v>
      </c>
    </row>
    <row r="17" spans="2:14" x14ac:dyDescent="0.3">
      <c r="B17" s="30" t="s">
        <v>27</v>
      </c>
      <c r="C17" s="52">
        <f>'Preços Crypto'!C14</f>
        <v>95.497</v>
      </c>
      <c r="D17" s="30">
        <f>'Preços Crypto'!D14</f>
        <v>467.31456950000006</v>
      </c>
      <c r="E17" s="30">
        <f>'Preços Crypto'!E14</f>
        <v>-3.5244239674053742E-3</v>
      </c>
      <c r="F17" s="30" t="s">
        <v>42</v>
      </c>
      <c r="G17" s="97">
        <v>0</v>
      </c>
      <c r="H17" s="46">
        <f t="shared" si="0"/>
        <v>0</v>
      </c>
      <c r="I17" s="47">
        <f t="shared" si="1"/>
        <v>0</v>
      </c>
      <c r="J17" s="51">
        <f t="shared" si="2"/>
        <v>0</v>
      </c>
      <c r="K17" s="30" t="s">
        <v>121</v>
      </c>
      <c r="L17" s="30" t="s">
        <v>122</v>
      </c>
      <c r="M17" s="30" t="s">
        <v>123</v>
      </c>
      <c r="N17" s="30" t="s">
        <v>36</v>
      </c>
    </row>
    <row r="18" spans="2:14" x14ac:dyDescent="0.3">
      <c r="B18" s="30" t="s">
        <v>21</v>
      </c>
      <c r="C18" s="52">
        <f>'Preços Crypto'!C8</f>
        <v>683.52449999999999</v>
      </c>
      <c r="D18" s="30">
        <f>'Preços Crypto'!D8</f>
        <v>3344.8271407500001</v>
      </c>
      <c r="E18" s="30">
        <f>'Preços Crypto'!E8</f>
        <v>3.3028129735692913E-2</v>
      </c>
      <c r="F18" s="30" t="s">
        <v>43</v>
      </c>
      <c r="G18" s="97">
        <v>0</v>
      </c>
      <c r="H18" s="46">
        <f t="shared" si="0"/>
        <v>0</v>
      </c>
      <c r="I18" s="47">
        <f t="shared" si="1"/>
        <v>0</v>
      </c>
      <c r="J18" s="51">
        <f t="shared" si="2"/>
        <v>0</v>
      </c>
      <c r="K18" s="30" t="s">
        <v>124</v>
      </c>
      <c r="L18" s="30" t="s">
        <v>125</v>
      </c>
      <c r="M18" s="30" t="s">
        <v>126</v>
      </c>
      <c r="N18" s="30" t="s">
        <v>127</v>
      </c>
    </row>
    <row r="20" spans="2:14" x14ac:dyDescent="0.3">
      <c r="B20" s="135" t="s">
        <v>49</v>
      </c>
      <c r="C20" s="121"/>
      <c r="D20" s="121"/>
      <c r="E20" s="121"/>
      <c r="G20" s="146" t="s">
        <v>53</v>
      </c>
      <c r="H20" s="146"/>
      <c r="I20" s="146"/>
      <c r="J20" s="146"/>
      <c r="K20" s="121"/>
      <c r="L20" s="121"/>
      <c r="M20" s="121"/>
      <c r="N20" s="121"/>
    </row>
    <row r="21" spans="2:14" x14ac:dyDescent="0.3">
      <c r="B21" s="28" t="s">
        <v>128</v>
      </c>
      <c r="D21" s="79">
        <f>SUM(G13:G18)</f>
        <v>0</v>
      </c>
      <c r="G21" s="28" t="s">
        <v>54</v>
      </c>
      <c r="H21" s="28"/>
      <c r="I21" s="28"/>
      <c r="J21" s="28"/>
      <c r="L21" s="98">
        <v>2000</v>
      </c>
    </row>
    <row r="22" spans="2:14" x14ac:dyDescent="0.3">
      <c r="B22" s="28" t="s">
        <v>51</v>
      </c>
      <c r="D22" s="79">
        <f>SUM(G13:G18)*24</f>
        <v>0</v>
      </c>
      <c r="G22" s="28" t="s">
        <v>131</v>
      </c>
      <c r="H22" s="28"/>
      <c r="I22" s="28"/>
      <c r="J22" s="28"/>
      <c r="L22" s="85">
        <f>COUNTIF(F13:F18,"*AGUARDAR*")</f>
        <v>2</v>
      </c>
    </row>
    <row r="23" spans="2:14" x14ac:dyDescent="0.3">
      <c r="B23" s="28" t="s">
        <v>129</v>
      </c>
      <c r="D23" s="85">
        <f>COUNTIF(F13:F18,"*COMPRAR*")</f>
        <v>4</v>
      </c>
      <c r="G23" s="28" t="s">
        <v>57</v>
      </c>
      <c r="H23" s="28"/>
      <c r="I23" s="28"/>
      <c r="J23" s="28"/>
      <c r="L23" s="79">
        <f>IF(L22&gt;0,L21/L22,0)</f>
        <v>1000</v>
      </c>
    </row>
    <row r="24" spans="2:14" x14ac:dyDescent="0.3">
      <c r="B24" s="28" t="s">
        <v>130</v>
      </c>
      <c r="D24" s="85">
        <f>COUNTIF(F13:F18,"*AGUARDAR*")</f>
        <v>2</v>
      </c>
      <c r="G24" s="28" t="s">
        <v>132</v>
      </c>
      <c r="H24" s="28"/>
      <c r="I24" s="28"/>
      <c r="J24" s="28"/>
      <c r="L24" t="s">
        <v>133</v>
      </c>
    </row>
    <row r="26" spans="2:14" x14ac:dyDescent="0.3">
      <c r="B26" s="147" t="s">
        <v>134</v>
      </c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</row>
    <row r="27" spans="2:14" x14ac:dyDescent="0.3">
      <c r="B27" s="40" t="s">
        <v>135</v>
      </c>
      <c r="C27" s="40" t="s">
        <v>136</v>
      </c>
      <c r="D27" s="40" t="s">
        <v>137</v>
      </c>
      <c r="E27" s="40" t="s">
        <v>138</v>
      </c>
      <c r="F27" s="149" t="s">
        <v>139</v>
      </c>
      <c r="G27" s="149"/>
      <c r="H27" s="149"/>
      <c r="I27" s="149"/>
      <c r="J27" s="149"/>
      <c r="K27" s="149"/>
      <c r="L27" s="149"/>
      <c r="M27" s="149"/>
      <c r="N27" s="149"/>
    </row>
    <row r="28" spans="2:14" x14ac:dyDescent="0.3">
      <c r="B28" s="30" t="s">
        <v>140</v>
      </c>
      <c r="C28" s="30" t="s">
        <v>141</v>
      </c>
      <c r="D28" s="30" t="s">
        <v>142</v>
      </c>
      <c r="E28" s="30" t="s">
        <v>143</v>
      </c>
      <c r="F28" s="143" t="s">
        <v>144</v>
      </c>
      <c r="G28" s="143"/>
      <c r="H28" s="143"/>
      <c r="I28" s="143"/>
      <c r="J28" s="143"/>
      <c r="K28" s="143"/>
      <c r="L28" s="143"/>
      <c r="M28" s="143"/>
      <c r="N28" s="143"/>
    </row>
    <row r="29" spans="2:14" x14ac:dyDescent="0.3">
      <c r="B29" s="30" t="s">
        <v>110</v>
      </c>
      <c r="C29" s="30" t="s">
        <v>145</v>
      </c>
      <c r="D29" s="30" t="s">
        <v>146</v>
      </c>
      <c r="E29" s="30" t="s">
        <v>147</v>
      </c>
      <c r="F29" s="143" t="s">
        <v>148</v>
      </c>
      <c r="G29" s="143"/>
      <c r="H29" s="143"/>
      <c r="I29" s="143"/>
      <c r="J29" s="143"/>
      <c r="K29" s="143"/>
      <c r="L29" s="143"/>
      <c r="M29" s="143"/>
      <c r="N29" s="143"/>
    </row>
    <row r="30" spans="2:14" x14ac:dyDescent="0.3">
      <c r="B30" s="30" t="s">
        <v>149</v>
      </c>
      <c r="C30" s="30" t="s">
        <v>150</v>
      </c>
      <c r="D30" s="30" t="s">
        <v>151</v>
      </c>
      <c r="E30" s="30" t="s">
        <v>152</v>
      </c>
      <c r="F30" s="143" t="s">
        <v>153</v>
      </c>
      <c r="G30" s="143"/>
      <c r="H30" s="143"/>
      <c r="I30" s="143"/>
      <c r="J30" s="143"/>
      <c r="K30" s="143"/>
      <c r="L30" s="143"/>
      <c r="M30" s="143"/>
      <c r="N30" s="143"/>
    </row>
    <row r="31" spans="2:14" x14ac:dyDescent="0.3">
      <c r="B31" s="30" t="s">
        <v>154</v>
      </c>
      <c r="C31" s="30" t="s">
        <v>155</v>
      </c>
      <c r="D31" s="30" t="s">
        <v>156</v>
      </c>
      <c r="E31" s="30" t="s">
        <v>157</v>
      </c>
      <c r="F31" s="143" t="s">
        <v>158</v>
      </c>
      <c r="G31" s="143"/>
      <c r="H31" s="143"/>
      <c r="I31" s="143"/>
      <c r="J31" s="143"/>
      <c r="K31" s="143"/>
      <c r="L31" s="143"/>
      <c r="M31" s="143"/>
      <c r="N31" s="143"/>
    </row>
    <row r="32" spans="2:14" x14ac:dyDescent="0.3">
      <c r="B32" s="30" t="s">
        <v>159</v>
      </c>
      <c r="C32" s="30" t="s">
        <v>150</v>
      </c>
      <c r="D32" s="30" t="s">
        <v>160</v>
      </c>
      <c r="E32" s="30" t="s">
        <v>161</v>
      </c>
      <c r="F32" s="143" t="s">
        <v>162</v>
      </c>
      <c r="G32" s="143"/>
      <c r="H32" s="143"/>
      <c r="I32" s="143"/>
      <c r="J32" s="143"/>
      <c r="K32" s="143"/>
      <c r="L32" s="143"/>
      <c r="M32" s="143"/>
      <c r="N32" s="143"/>
    </row>
    <row r="33" spans="2:14" x14ac:dyDescent="0.3">
      <c r="B33" s="30" t="s">
        <v>163</v>
      </c>
      <c r="C33" s="30" t="s">
        <v>164</v>
      </c>
      <c r="D33" s="30" t="s">
        <v>165</v>
      </c>
      <c r="E33" s="30" t="s">
        <v>166</v>
      </c>
      <c r="F33" s="143" t="s">
        <v>167</v>
      </c>
      <c r="G33" s="143"/>
      <c r="H33" s="143"/>
      <c r="I33" s="143"/>
      <c r="J33" s="143"/>
      <c r="K33" s="143"/>
      <c r="L33" s="143"/>
      <c r="M33" s="143"/>
      <c r="N33" s="143"/>
    </row>
    <row r="35" spans="2:14" x14ac:dyDescent="0.3">
      <c r="B35" s="144" t="s">
        <v>58</v>
      </c>
      <c r="C35" s="121"/>
      <c r="D35" s="121"/>
      <c r="E35" s="121"/>
      <c r="G35" s="144" t="s">
        <v>62</v>
      </c>
      <c r="H35" s="144"/>
      <c r="I35" s="144"/>
      <c r="J35" s="144"/>
      <c r="K35" s="121"/>
      <c r="L35" s="121"/>
      <c r="M35" s="121"/>
      <c r="N35" s="121"/>
    </row>
    <row r="36" spans="2:14" x14ac:dyDescent="0.3">
      <c r="B36" s="42" t="s">
        <v>42</v>
      </c>
      <c r="C36" s="121" t="s">
        <v>168</v>
      </c>
      <c r="D36" s="121"/>
      <c r="E36" s="121"/>
      <c r="G36" s="121" t="s">
        <v>171</v>
      </c>
      <c r="H36" s="121"/>
      <c r="I36" s="121"/>
      <c r="J36" s="121"/>
      <c r="K36" s="121"/>
      <c r="L36" s="121"/>
      <c r="M36" s="121"/>
      <c r="N36" s="121"/>
    </row>
    <row r="37" spans="2:14" x14ac:dyDescent="0.3">
      <c r="B37" s="43" t="s">
        <v>43</v>
      </c>
      <c r="C37" s="121" t="s">
        <v>169</v>
      </c>
      <c r="D37" s="121"/>
      <c r="E37" s="121"/>
      <c r="G37" s="121" t="s">
        <v>172</v>
      </c>
      <c r="H37" s="121"/>
      <c r="I37" s="121"/>
      <c r="J37" s="121"/>
      <c r="K37" s="121"/>
      <c r="L37" s="121"/>
      <c r="M37" s="121"/>
      <c r="N37" s="121"/>
    </row>
    <row r="38" spans="2:14" x14ac:dyDescent="0.3">
      <c r="B38" s="44" t="s">
        <v>79</v>
      </c>
      <c r="C38" s="121" t="s">
        <v>170</v>
      </c>
      <c r="D38" s="121"/>
      <c r="E38" s="121"/>
      <c r="G38" s="121" t="s">
        <v>173</v>
      </c>
      <c r="H38" s="121"/>
      <c r="I38" s="121"/>
      <c r="J38" s="121"/>
      <c r="K38" s="121"/>
      <c r="L38" s="121"/>
      <c r="M38" s="121"/>
      <c r="N38" s="121"/>
    </row>
    <row r="39" spans="2:14" x14ac:dyDescent="0.3">
      <c r="G39" s="121" t="s">
        <v>66</v>
      </c>
      <c r="H39" s="121"/>
      <c r="I39" s="121"/>
      <c r="J39" s="121"/>
      <c r="K39" s="121"/>
      <c r="L39" s="121"/>
      <c r="M39" s="121"/>
      <c r="N39" s="121"/>
    </row>
    <row r="41" spans="2:14" x14ac:dyDescent="0.3">
      <c r="B41" s="142" t="s">
        <v>174</v>
      </c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</row>
  </sheetData>
  <mergeCells count="23">
    <mergeCell ref="F32:N32"/>
    <mergeCell ref="B2:N2"/>
    <mergeCell ref="B4:E4"/>
    <mergeCell ref="B11:N11"/>
    <mergeCell ref="B20:E20"/>
    <mergeCell ref="G20:N20"/>
    <mergeCell ref="B26:N26"/>
    <mergeCell ref="F27:N27"/>
    <mergeCell ref="F28:N28"/>
    <mergeCell ref="F29:N29"/>
    <mergeCell ref="F30:N30"/>
    <mergeCell ref="F31:N31"/>
    <mergeCell ref="G39:N39"/>
    <mergeCell ref="B41:N41"/>
    <mergeCell ref="F33:N33"/>
    <mergeCell ref="B35:E35"/>
    <mergeCell ref="C36:E36"/>
    <mergeCell ref="C37:E37"/>
    <mergeCell ref="C38:E38"/>
    <mergeCell ref="G35:N35"/>
    <mergeCell ref="G36:N36"/>
    <mergeCell ref="G37:N37"/>
    <mergeCell ref="G38:N38"/>
  </mergeCells>
  <conditionalFormatting sqref="F13:F18">
    <cfRule type="containsText" dxfId="6" priority="1" operator="containsText" text="COMPRAR">
      <formula>NOT(ISERROR(SEARCH("COMPRAR",F13)))</formula>
    </cfRule>
  </conditionalFormatting>
  <conditionalFormatting sqref="F13:F18">
    <cfRule type="containsText" dxfId="5" priority="2" operator="containsText" text="AGUARDAR">
      <formula>NOT(ISERROR(SEARCH("AGUARDAR",F13)))</formula>
    </cfRule>
  </conditionalFormatting>
  <conditionalFormatting sqref="F13:F18">
    <cfRule type="containsText" dxfId="4" priority="3" operator="containsText" text="VENDER">
      <formula>NOT(ISERROR(SEARCH("VENDER",F13)))</formula>
    </cfRule>
  </conditionalFormatting>
  <dataValidations count="1">
    <dataValidation allowBlank="1" showInputMessage="1" showErrorMessage="1" sqref="F13:F18" xr:uid="{D7824474-1CFD-40B6-BCF3-904490428C29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C484-5E28-48C5-89F3-A5095EA14C9D}">
  <sheetPr codeName="Planilha3"/>
  <dimension ref="B2:O32"/>
  <sheetViews>
    <sheetView tabSelected="1" topLeftCell="A5" workbookViewId="0">
      <selection activeCell="C6" sqref="C6"/>
    </sheetView>
  </sheetViews>
  <sheetFormatPr defaultRowHeight="14.4" x14ac:dyDescent="0.3"/>
  <cols>
    <col min="2" max="2" width="24.109375" customWidth="1"/>
    <col min="3" max="4" width="16.6640625" customWidth="1"/>
    <col min="5" max="5" width="21.33203125" customWidth="1"/>
    <col min="6" max="6" width="19.44140625" customWidth="1"/>
    <col min="7" max="7" width="20.33203125" customWidth="1"/>
    <col min="8" max="9" width="19.44140625" customWidth="1"/>
    <col min="10" max="10" width="18.5546875" customWidth="1"/>
    <col min="11" max="11" width="16.6640625" customWidth="1"/>
    <col min="12" max="12" width="17.5546875" customWidth="1"/>
    <col min="13" max="13" width="10.21875" customWidth="1"/>
    <col min="15" max="15" width="22.21875" customWidth="1"/>
    <col min="16" max="16" width="15" bestFit="1" customWidth="1"/>
    <col min="17" max="18" width="13" customWidth="1"/>
  </cols>
  <sheetData>
    <row r="2" spans="2:15" ht="34.950000000000003" customHeight="1" x14ac:dyDescent="0.4">
      <c r="B2" s="120" t="s">
        <v>176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4" spans="2:15" ht="18" customHeight="1" x14ac:dyDescent="0.3">
      <c r="B4" s="118" t="s">
        <v>177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9"/>
      <c r="O4" s="119"/>
    </row>
    <row r="5" spans="2:15" x14ac:dyDescent="0.3">
      <c r="B5" s="54" t="s">
        <v>1</v>
      </c>
      <c r="C5" s="54" t="s">
        <v>178</v>
      </c>
      <c r="D5" s="54" t="s">
        <v>179</v>
      </c>
      <c r="E5" s="54" t="s">
        <v>180</v>
      </c>
      <c r="F5" s="54" t="s">
        <v>181</v>
      </c>
      <c r="G5" s="54" t="s">
        <v>182</v>
      </c>
      <c r="H5" s="54" t="s">
        <v>183</v>
      </c>
      <c r="I5" s="54" t="s">
        <v>184</v>
      </c>
      <c r="J5" s="54" t="s">
        <v>185</v>
      </c>
      <c r="K5" s="54" t="s">
        <v>186</v>
      </c>
      <c r="L5" s="54" t="s">
        <v>84</v>
      </c>
      <c r="M5" s="54" t="s">
        <v>187</v>
      </c>
      <c r="O5" s="29"/>
    </row>
    <row r="6" spans="2:15" x14ac:dyDescent="0.3">
      <c r="B6" t="s">
        <v>24</v>
      </c>
      <c r="C6" s="60"/>
      <c r="D6" s="80">
        <f>SUMIFS('Histórico Compras'!F:F,'Histórico Compras'!C:C,"Chainlink (LINK)",'Histórico Compras'!L:L,"✅ ATIVO")</f>
        <v>0</v>
      </c>
      <c r="E6" s="78">
        <f>IFERROR(SUMIFS('Histórico Compras'!I:I,'Histórico Compras'!C:C,"Chainlink (LINK)",'Histórico Compras'!L:L,"✅ ATIVO")/D6,0)</f>
        <v>0</v>
      </c>
      <c r="F6" s="79">
        <f>SUMIFS('Histórico Compras'!I:I,'Histórico Compras'!C:C,"Chainlink (LINK)",'Histórico Compras'!L:L,"✅ ATIVO")</f>
        <v>0</v>
      </c>
      <c r="G6" s="61">
        <f>IFERROR(VLOOKUP(B6,'Preços Crypto'!$B$6:$D$15,2,FALSE),"")</f>
        <v>10.684200000000001</v>
      </c>
      <c r="H6" s="79">
        <f>IFERROR(VLOOKUP(B6,'Preços Crypto'!$B$6:$D$15,3,FALSE),"")</f>
        <v>52.28313270000001</v>
      </c>
      <c r="I6" s="79">
        <f t="shared" ref="I6:I11" si="0">D6*H6</f>
        <v>0</v>
      </c>
      <c r="J6" s="79">
        <f t="shared" ref="J6:J12" si="1">I6-F6</f>
        <v>0</v>
      </c>
      <c r="K6" s="55">
        <f t="shared" ref="K6:K11" si="2">IFERROR(J6/F6,0)</f>
        <v>0</v>
      </c>
      <c r="L6" t="str">
        <f t="shared" ref="L6:L11" si="3">IF(D6=0,"",IF(K6&gt;0.1,"🚀 LUCRO",IF(K6&gt;0,"📈 POSITIVO",IF(K6&gt;-0.1,"📉 NEGATIVO","⚠️ ALERTA"))))</f>
        <v/>
      </c>
      <c r="M6" t="str">
        <f t="shared" ref="M6:M11" ca="1" si="4">IF(D6=0,"",TODAY()-C6)</f>
        <v/>
      </c>
      <c r="O6" s="29"/>
    </row>
    <row r="7" spans="2:15" x14ac:dyDescent="0.3">
      <c r="B7" t="s">
        <v>23</v>
      </c>
      <c r="C7" s="60" t="str">
        <f>IF(D7=0,"",_xlfn.MINIFS('Histórico Compras'!E:E,'Histórico Compras'!C:C,"Aave (AAVE)",'Histórico Compras'!L:L,"✅ ATIVO"))</f>
        <v/>
      </c>
      <c r="D7" s="80">
        <f>SUMIFS('Histórico Compras'!F:F,'Histórico Compras'!C:C,"Aave (AAVE)",'Histórico Compras'!L:L,"✅ ATIVO")</f>
        <v>0</v>
      </c>
      <c r="E7" s="78">
        <f>IFERROR(SUMIFS('Histórico Compras'!I:I,'Histórico Compras'!C:C,"Aave (AAVE)",'Histórico Compras'!L:L,"✅ ATIVO")/D7,0)</f>
        <v>0</v>
      </c>
      <c r="F7" s="79">
        <f>SUMIFS('Histórico Compras'!I:I,'Histórico Compras'!C:C,"Aave (AAVE)",'Histórico Compras'!L:L,"✅ ATIVO")</f>
        <v>0</v>
      </c>
      <c r="G7" s="61">
        <f>IFERROR(VLOOKUP(B7,'Preços Crypto'!$B$6:$D$15,2,FALSE),"")</f>
        <v>99.597200000000001</v>
      </c>
      <c r="H7" s="79">
        <f>IFERROR(VLOOKUP(B7,'Preços Crypto'!$B$6:$D$15,3,FALSE),"")</f>
        <v>487.37889820000004</v>
      </c>
      <c r="I7" s="79">
        <f t="shared" si="0"/>
        <v>0</v>
      </c>
      <c r="J7" s="79">
        <f t="shared" si="1"/>
        <v>0</v>
      </c>
      <c r="K7" s="55">
        <f t="shared" si="2"/>
        <v>0</v>
      </c>
      <c r="L7" t="str">
        <f t="shared" si="3"/>
        <v/>
      </c>
      <c r="M7" t="str">
        <f t="shared" ca="1" si="4"/>
        <v/>
      </c>
      <c r="O7" s="29"/>
    </row>
    <row r="8" spans="2:15" x14ac:dyDescent="0.3">
      <c r="B8" t="s">
        <v>25</v>
      </c>
      <c r="C8" s="60" t="str">
        <f>IF(D8=0,"",_xlfn.MINIFS('Histórico Compras'!E:E,'Histórico Compras'!C:C,"Avalanche (AVAX)",'Histórico Compras'!L:L,"✅ ATIVO"))</f>
        <v/>
      </c>
      <c r="D8" s="80">
        <f>SUMIFS('Histórico Compras'!F:F,'Histórico Compras'!C:C,"Avalanche (AVAX)",'Histórico Compras'!L:L,"✅ ATIVO")</f>
        <v>0</v>
      </c>
      <c r="E8" s="78">
        <f>IFERROR(SUMIFS('Histórico Compras'!I:I,'Histórico Compras'!C:C,"Avalanche (AVAX)",'Histórico Compras'!L:L,"✅ ATIVO")/D8,0)</f>
        <v>0</v>
      </c>
      <c r="F8" s="79">
        <f>SUMIFS('Histórico Compras'!I:I,'Histórico Compras'!C:C,"Avalanche (AVAX)",'Histórico Compras'!L:L,"✅ ATIVO")</f>
        <v>0</v>
      </c>
      <c r="G8" s="61">
        <f>IFERROR(VLOOKUP(B8,'Preços Crypto'!$B$6:$D$15,2,FALSE),"")</f>
        <v>10.1251</v>
      </c>
      <c r="H8" s="79">
        <f>IFERROR(VLOOKUP(B8,'Preços Crypto'!$B$6:$D$15,3,FALSE),"")</f>
        <v>49.54717685</v>
      </c>
      <c r="I8" s="79">
        <f t="shared" si="0"/>
        <v>0</v>
      </c>
      <c r="J8" s="79">
        <f t="shared" si="1"/>
        <v>0</v>
      </c>
      <c r="K8" s="55">
        <f t="shared" si="2"/>
        <v>0</v>
      </c>
      <c r="L8" t="str">
        <f t="shared" si="3"/>
        <v/>
      </c>
      <c r="M8" t="str">
        <f t="shared" ca="1" si="4"/>
        <v/>
      </c>
      <c r="O8" s="55"/>
    </row>
    <row r="9" spans="2:15" x14ac:dyDescent="0.3">
      <c r="B9" t="s">
        <v>26</v>
      </c>
      <c r="C9" s="60" t="str">
        <f>IF(D9=0,"",_xlfn.MINIFS('Histórico Compras'!E:E,'Histórico Compras'!C:C,"Near Protocol (NEAR)",'Histórico Compras'!L:L,"✅ ATIVO"))</f>
        <v/>
      </c>
      <c r="D9" s="80">
        <f>SUMIFS('Histórico Compras'!F:F,'Histórico Compras'!C:C,"Near Protocol (NEAR)",'Histórico Compras'!L:L,"✅ ATIVO")</f>
        <v>0</v>
      </c>
      <c r="E9" s="78">
        <f>IFERROR(SUMIFS('Histórico Compras'!I:I,'Histórico Compras'!C:C,"Near Protocol (NEAR)",'Histórico Compras'!L:L,"✅ ATIVO")/D9,0)</f>
        <v>0</v>
      </c>
      <c r="F9" s="79">
        <f>SUMIFS('Histórico Compras'!I:I,'Histórico Compras'!C:C,"Near Protocol (NEAR)",'Histórico Compras'!L:L,"✅ ATIVO")</f>
        <v>0</v>
      </c>
      <c r="G9" s="61">
        <f>IFERROR(VLOOKUP(B9,'Preços Crypto'!$B$6:$D$15,2,FALSE),"")</f>
        <v>1.6181000000000001</v>
      </c>
      <c r="H9" s="79">
        <f>IFERROR(VLOOKUP(B9,'Preços Crypto'!$B$6:$D$15,3,FALSE),"")</f>
        <v>7.9181723500000007</v>
      </c>
      <c r="I9" s="79">
        <f t="shared" si="0"/>
        <v>0</v>
      </c>
      <c r="J9" s="79">
        <f t="shared" si="1"/>
        <v>0</v>
      </c>
      <c r="K9" s="55">
        <f t="shared" si="2"/>
        <v>0</v>
      </c>
      <c r="L9" t="str">
        <f t="shared" si="3"/>
        <v/>
      </c>
      <c r="M9" t="str">
        <f t="shared" ca="1" si="4"/>
        <v/>
      </c>
    </row>
    <row r="10" spans="2:15" x14ac:dyDescent="0.3">
      <c r="B10" t="s">
        <v>27</v>
      </c>
      <c r="C10" s="60" t="str">
        <f>IF(D10=0,"",_xlfn.MINIFS('Histórico Compras'!E:E,'Histórico Compras'!C:C,"Solana (SOL)",'Histórico Compras'!L:L,"✅ ATIVO"))</f>
        <v/>
      </c>
      <c r="D10" s="80">
        <f>SUMIFS('Histórico Compras'!F:F,'Histórico Compras'!C:C,"Solana (SOL)",'Histórico Compras'!L:L,"✅ ATIVO")</f>
        <v>0</v>
      </c>
      <c r="E10" s="78">
        <f>IFERROR(SUMIFS('Histórico Compras'!I:I,'Histórico Compras'!C:C,"Solana (SOL)",'Histórico Compras'!L:L,"✅ ATIVO")/D10,0)</f>
        <v>0</v>
      </c>
      <c r="F10" s="79">
        <f>SUMIFS('Histórico Compras'!I:I,'Histórico Compras'!C:C,"Solana (SOL)",'Histórico Compras'!L:L,"✅ ATIVO")</f>
        <v>0</v>
      </c>
      <c r="G10" s="61">
        <f>IFERROR(VLOOKUP(B10,'Preços Crypto'!$B$6:$D$15,2,FALSE),"")</f>
        <v>95.497</v>
      </c>
      <c r="H10" s="79">
        <f>IFERROR(VLOOKUP(B10,'Preços Crypto'!$B$6:$D$15,3,FALSE),"")</f>
        <v>467.31456950000006</v>
      </c>
      <c r="I10" s="79">
        <f t="shared" si="0"/>
        <v>0</v>
      </c>
      <c r="J10" s="79">
        <f t="shared" si="1"/>
        <v>0</v>
      </c>
      <c r="K10" s="55">
        <f t="shared" si="2"/>
        <v>0</v>
      </c>
      <c r="L10" t="str">
        <f t="shared" si="3"/>
        <v/>
      </c>
      <c r="M10" t="str">
        <f t="shared" ca="1" si="4"/>
        <v/>
      </c>
      <c r="O10" s="64"/>
    </row>
    <row r="11" spans="2:15" x14ac:dyDescent="0.3">
      <c r="B11" t="s">
        <v>21</v>
      </c>
      <c r="C11" s="60" t="str">
        <f>IF(D11=0,"",_xlfn.MINIFS('Histórico Compras'!E:E,'Histórico Compras'!C:C,"Binance Coin (BNB)",'Histórico Compras'!L:L,"✅ ATIVO"))</f>
        <v/>
      </c>
      <c r="D11" s="80">
        <f>SUMIFS('Histórico Compras'!F:F,'Histórico Compras'!C:C,"Binance Coin (BNB)",'Histórico Compras'!L:L,"✅ ATIVO")</f>
        <v>0</v>
      </c>
      <c r="E11" s="78">
        <f>IFERROR(SUMIFS('Histórico Compras'!I:I,'Histórico Compras'!C:C,"Binance Coin (BNB)",'Histórico Compras'!L:L,"✅ ATIVO")/D11,0)</f>
        <v>0</v>
      </c>
      <c r="F11" s="79">
        <f>SUMIFS('Histórico Compras'!I:I,'Histórico Compras'!C:C,"Binance Coin (BNB)",'Histórico Compras'!L:L,"✅ ATIVO")</f>
        <v>0</v>
      </c>
      <c r="G11" s="61">
        <f>IFERROR(VLOOKUP(B11,'Preços Crypto'!$B$6:$D$15,2,FALSE),"")</f>
        <v>683.52449999999999</v>
      </c>
      <c r="H11" s="79">
        <f>IFERROR(VLOOKUP(B11,'Preços Crypto'!$B$6:$D$15,3,FALSE),"")</f>
        <v>3344.8271407500001</v>
      </c>
      <c r="I11" s="79">
        <f t="shared" si="0"/>
        <v>0</v>
      </c>
      <c r="J11" s="79">
        <f t="shared" si="1"/>
        <v>0</v>
      </c>
      <c r="K11" s="55">
        <f t="shared" si="2"/>
        <v>0</v>
      </c>
      <c r="L11" t="str">
        <f t="shared" si="3"/>
        <v/>
      </c>
      <c r="M11" t="str">
        <f t="shared" ca="1" si="4"/>
        <v/>
      </c>
    </row>
    <row r="12" spans="2:15" x14ac:dyDescent="0.3">
      <c r="B12" s="56" t="s">
        <v>188</v>
      </c>
      <c r="C12" s="56"/>
      <c r="D12" s="56"/>
      <c r="E12" s="56"/>
      <c r="F12" s="88">
        <f>SUMIF(F6:F11,"&gt;0")</f>
        <v>0</v>
      </c>
      <c r="G12" s="56"/>
      <c r="H12" s="56"/>
      <c r="I12" s="88">
        <f>SUMIF(I6:I11,"&gt;0")</f>
        <v>0</v>
      </c>
      <c r="J12" s="88">
        <f t="shared" si="1"/>
        <v>0</v>
      </c>
      <c r="K12" s="57" t="str">
        <f>IF(F12=0,"",J12/F12)</f>
        <v/>
      </c>
      <c r="L12" s="56" t="str">
        <f t="shared" ref="L12" si="5">IF(K12="","",IF(K12&gt;0.1,"🚀 LUCRO",IF(K12&gt;0,"📈 POSITIVO",IF(K12&gt;-0.1,"📉 NEGATIVO","⚠️ ALERTA"))))</f>
        <v/>
      </c>
      <c r="M12" s="56"/>
    </row>
    <row r="13" spans="2:15" ht="28.05" customHeight="1" x14ac:dyDescent="0.3"/>
    <row r="14" spans="2:15" ht="15.6" x14ac:dyDescent="0.3">
      <c r="B14" s="118" t="s">
        <v>189</v>
      </c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</row>
    <row r="15" spans="2:15" x14ac:dyDescent="0.3">
      <c r="B15" s="54" t="s">
        <v>1</v>
      </c>
      <c r="C15" s="54" t="s">
        <v>178</v>
      </c>
      <c r="D15" s="54" t="s">
        <v>179</v>
      </c>
      <c r="E15" s="54" t="s">
        <v>180</v>
      </c>
      <c r="F15" s="54" t="s">
        <v>181</v>
      </c>
      <c r="G15" s="54" t="s">
        <v>182</v>
      </c>
      <c r="H15" s="54" t="s">
        <v>183</v>
      </c>
      <c r="I15" s="54" t="s">
        <v>184</v>
      </c>
      <c r="J15" s="54" t="s">
        <v>185</v>
      </c>
      <c r="K15" s="54" t="s">
        <v>186</v>
      </c>
      <c r="L15" s="54" t="s">
        <v>84</v>
      </c>
      <c r="M15" s="54" t="s">
        <v>187</v>
      </c>
    </row>
    <row r="16" spans="2:15" x14ac:dyDescent="0.3">
      <c r="B16" t="s">
        <v>5</v>
      </c>
      <c r="C16" s="60">
        <f>IF(D16=0,"",_xlfn.MINIFS('Histórico Compras'!E:E,'Histórico Compras'!C:C,"Render (RNDR)",'Histórico Compras'!L:L,"✅ ATIVO"))</f>
        <v>46131</v>
      </c>
      <c r="D16" s="80">
        <f>SUMIFS('Histórico Compras'!F:F,'Histórico Compras'!C:C,"Render (RNDR)",'Histórico Compras'!L:L,"✅ ATIVO")</f>
        <v>22.807169999999999</v>
      </c>
      <c r="E16" s="78">
        <f>IFERROR(SUMIFS('Histórico Compras'!I:I,'Histórico Compras'!C:C,"Render (RNDR)",'Histórico Compras'!L:L,"✅ ATIVO")/D16,0)</f>
        <v>8.7691721506876998</v>
      </c>
      <c r="F16" s="79">
        <f>SUMIFS('Histórico Compras'!I:I,'Histórico Compras'!C:C,"Render (RNDR)",'Histórico Compras'!L:L,"✅ ATIVO")</f>
        <v>200</v>
      </c>
      <c r="G16" s="61">
        <f>IFERROR(VLOOKUP(B16,'Small Caps'!$B$6:$D$11,2,FALSE),"")</f>
        <v>1.9482999999999999</v>
      </c>
      <c r="H16" s="79">
        <f>IFERROR(VLOOKUP(B16,'Small Caps'!$B$6:$D$11,3,FALSE),"")</f>
        <v>9.5340060500000003</v>
      </c>
      <c r="I16" s="79">
        <f t="shared" ref="I16:I21" si="6">D16*H16</f>
        <v>217.44369676337851</v>
      </c>
      <c r="J16" s="79">
        <f t="shared" ref="J16:J22" si="7">I16-F16</f>
        <v>17.443696763378512</v>
      </c>
      <c r="K16" s="55">
        <f t="shared" ref="K16:K21" si="8">IFERROR(J16/F16,0)</f>
        <v>8.7218483816892553E-2</v>
      </c>
      <c r="L16" t="str">
        <f t="shared" ref="L16:L21" si="9">IF(D16=0,"",IF(K16&gt;0.1,"🚀 LUCRO",IF(K16&gt;0,"📈 POSITIVO",IF(K16&gt;-0.1,"📉 NEGATIVO","⚠️ ALERTA"))))</f>
        <v>📈 POSITIVO</v>
      </c>
      <c r="M16">
        <f t="shared" ref="M16:M21" ca="1" si="10">IF(D16=0,"",TODAY()-C16)</f>
        <v>24</v>
      </c>
    </row>
    <row r="17" spans="2:13" x14ac:dyDescent="0.3">
      <c r="B17" t="s">
        <v>7</v>
      </c>
      <c r="C17" s="60" t="str">
        <f>IF(D17=0,"",_xlfn.MINIFS('Histórico Compras'!E:E,'Histórico Compras'!C:C,"Injective (INJ)",'Histórico Compras'!L:L,"✅ ATIVO"))</f>
        <v/>
      </c>
      <c r="D17" s="80">
        <f>SUMIFS('Histórico Compras'!F:F,'Histórico Compras'!C:C,"Injective (INJ)",'Histórico Compras'!L:L,"✅ ATIVO")</f>
        <v>0</v>
      </c>
      <c r="E17" s="78">
        <f>IFERROR(SUMIFS('Histórico Compras'!I:I,'Histórico Compras'!C:C,"Injective (INJ)",'Histórico Compras'!L:L,"✅ ATIVO")/D17,0)</f>
        <v>0</v>
      </c>
      <c r="F17" s="79">
        <f>SUMIFS('Histórico Compras'!I:I,'Histórico Compras'!C:C,"Injective (INJ)",'Histórico Compras'!L:L,"✅ ATIVO")</f>
        <v>0</v>
      </c>
      <c r="G17" s="61">
        <f>IFERROR(VLOOKUP(B17,'Small Caps'!$B$6:$D$11,2,FALSE),"")</f>
        <v>5.9169999999999998</v>
      </c>
      <c r="H17" s="79">
        <f>IFERROR(VLOOKUP(B17,'Small Caps'!$B$6:$D$11,3,FALSE),"")</f>
        <v>28.954839500000002</v>
      </c>
      <c r="I17" s="79">
        <f t="shared" si="6"/>
        <v>0</v>
      </c>
      <c r="J17" s="79">
        <f t="shared" si="7"/>
        <v>0</v>
      </c>
      <c r="K17" s="55">
        <f t="shared" si="8"/>
        <v>0</v>
      </c>
      <c r="L17" t="str">
        <f t="shared" si="9"/>
        <v/>
      </c>
      <c r="M17" t="str">
        <f t="shared" ca="1" si="10"/>
        <v/>
      </c>
    </row>
    <row r="18" spans="2:13" x14ac:dyDescent="0.3">
      <c r="B18" t="s">
        <v>9</v>
      </c>
      <c r="C18" s="60" t="str">
        <f>IF(D18=0,"",_xlfn.MINIFS('Histórico Compras'!E:E,'Histórico Compras'!C:C,"Celestia (TIA)",'Histórico Compras'!L:L,"✅ ATIVO"))</f>
        <v/>
      </c>
      <c r="D18" s="80">
        <f>SUMIFS('Histórico Compras'!F:F,'Histórico Compras'!C:C,"Celestia (TIA)",'Histórico Compras'!L:L,"✅ ATIVO")</f>
        <v>0</v>
      </c>
      <c r="E18" s="78">
        <f>IFERROR(SUMIFS('Histórico Compras'!I:I,'Histórico Compras'!C:C,"Celestia (TIA)",'Histórico Compras'!L:L,"✅ ATIVO")/D18,0)</f>
        <v>0</v>
      </c>
      <c r="F18" s="79">
        <f>SUMIFS('Histórico Compras'!I:I,'Histórico Compras'!C:C,"Celestia (TIA)",'Histórico Compras'!L:L,"✅ ATIVO")</f>
        <v>0</v>
      </c>
      <c r="G18" s="61">
        <f>IFERROR(VLOOKUP(B18,'Small Caps'!$B$6:$D$11,2,FALSE),"")</f>
        <v>0.50609999999999999</v>
      </c>
      <c r="H18" s="79">
        <f>IFERROR(VLOOKUP(B18,'Small Caps'!$B$6:$D$11,3,FALSE),"")</f>
        <v>2.47660035</v>
      </c>
      <c r="I18" s="79">
        <f t="shared" si="6"/>
        <v>0</v>
      </c>
      <c r="J18" s="79">
        <f t="shared" si="7"/>
        <v>0</v>
      </c>
      <c r="K18" s="55">
        <f t="shared" si="8"/>
        <v>0</v>
      </c>
      <c r="L18" t="str">
        <f t="shared" si="9"/>
        <v/>
      </c>
      <c r="M18" t="str">
        <f t="shared" ca="1" si="10"/>
        <v/>
      </c>
    </row>
    <row r="19" spans="2:13" x14ac:dyDescent="0.3">
      <c r="B19" t="s">
        <v>11</v>
      </c>
      <c r="C19" s="60" t="str">
        <f>IF(D19=0,"",_xlfn.MINIFS('Histórico Compras'!E:E,'Histórico Compras'!C:C,"The Graph (GRT)",'Histórico Compras'!L:L,"✅ ATIVO"))</f>
        <v/>
      </c>
      <c r="D19" s="80">
        <f>SUMIFS('Histórico Compras'!F:F,'Histórico Compras'!C:C,"The Graph (GRT)",'Histórico Compras'!L:L,"✅ ATIVO")</f>
        <v>0</v>
      </c>
      <c r="E19" s="78">
        <f>IFERROR(SUMIFS('Histórico Compras'!I:I,'Histórico Compras'!C:C,"The Graph (GRT)",'Histórico Compras'!L:L,"✅ ATIVO")/D19,0)</f>
        <v>0</v>
      </c>
      <c r="F19" s="79">
        <f>SUMIFS('Histórico Compras'!I:I,'Histórico Compras'!C:C,"The Graph (GRT)",'Histórico Compras'!L:L,"✅ ATIVO")</f>
        <v>0</v>
      </c>
      <c r="G19" s="61">
        <f>IFERROR(VLOOKUP(B19,'Small Caps'!$B$6:$D$11,2,FALSE),"")</f>
        <v>2.9399999999999999E-2</v>
      </c>
      <c r="H19" s="79">
        <f>IFERROR(VLOOKUP(B19,'Small Caps'!$B$6:$D$11,3,FALSE),"")</f>
        <v>0.14386889999999999</v>
      </c>
      <c r="I19" s="79">
        <f t="shared" si="6"/>
        <v>0</v>
      </c>
      <c r="J19" s="79">
        <f t="shared" si="7"/>
        <v>0</v>
      </c>
      <c r="K19" s="55">
        <f t="shared" si="8"/>
        <v>0</v>
      </c>
      <c r="L19" t="str">
        <f t="shared" si="9"/>
        <v/>
      </c>
      <c r="M19" t="str">
        <f t="shared" ca="1" si="10"/>
        <v/>
      </c>
    </row>
    <row r="20" spans="2:13" x14ac:dyDescent="0.3">
      <c r="B20" t="s">
        <v>13</v>
      </c>
      <c r="C20" s="60" t="str">
        <f>IF(D20=0,"",_xlfn.MINIFS('Histórico Compras'!E:E,'Histórico Compras'!C:C,"Sei Network (SEI)",'Histórico Compras'!L:L,"✅ ATIVO"))</f>
        <v/>
      </c>
      <c r="D20" s="80">
        <f>SUMIFS('Histórico Compras'!F:F,'Histórico Compras'!C:C,"Sei Network (SEI)",'Histórico Compras'!L:L,"✅ ATIVO")</f>
        <v>0</v>
      </c>
      <c r="E20" s="78">
        <f>IFERROR(SUMIFS('Histórico Compras'!I:I,'Histórico Compras'!C:C,"Sei Network (SEI)",'Histórico Compras'!L:L,"✅ ATIVO")/D20,0)</f>
        <v>0</v>
      </c>
      <c r="F20" s="79">
        <f>SUMIFS('Histórico Compras'!I:I,'Histórico Compras'!C:C,"Sei Network (SEI)",'Histórico Compras'!L:L,"✅ ATIVO")</f>
        <v>0</v>
      </c>
      <c r="G20" s="61">
        <f>IFERROR(VLOOKUP(B20,'Small Caps'!$B$6:$D$11,2,FALSE),"")</f>
        <v>7.0499999999999993E-2</v>
      </c>
      <c r="H20" s="79">
        <f>IFERROR(VLOOKUP(B20,'Small Caps'!$B$6:$D$11,3,FALSE),"")</f>
        <v>0.34499174999999999</v>
      </c>
      <c r="I20" s="79">
        <f t="shared" si="6"/>
        <v>0</v>
      </c>
      <c r="J20" s="79">
        <f t="shared" si="7"/>
        <v>0</v>
      </c>
      <c r="K20" s="55">
        <f t="shared" si="8"/>
        <v>0</v>
      </c>
      <c r="L20" t="str">
        <f t="shared" si="9"/>
        <v/>
      </c>
      <c r="M20" t="str">
        <f t="shared" ca="1" si="10"/>
        <v/>
      </c>
    </row>
    <row r="21" spans="2:13" x14ac:dyDescent="0.3">
      <c r="B21" t="s">
        <v>243</v>
      </c>
      <c r="C21" s="60">
        <v>46147</v>
      </c>
      <c r="D21" s="80">
        <f>SUMIFS('Histórico Compras'!F:F,'Histórico Compras'!C:C,"USDT EARN (USDT)",'Histórico Compras'!L:L,"✅ ATIVO")</f>
        <v>244.65940568032519</v>
      </c>
      <c r="E21" s="78">
        <f>IFERROR(SUMIFS('Histórico Compras'!I:I,'Histórico Compras'!C:C,"USDT EARN (USDT)",'Histórico Compras'!L:L,"✅ ATIVO")/D21,0)</f>
        <v>4.929996444019797</v>
      </c>
      <c r="F21" s="79">
        <f>SUMIFS('Histórico Compras'!I:I,'Histórico Compras'!C:C,"USDT EARN (USDT)",'Histórico Compras'!L:L,"✅ ATIVO")</f>
        <v>1206.17</v>
      </c>
      <c r="G21" s="61">
        <f>IFERROR(VLOOKUP(B21,'Small Caps'!$B$6:$D$11,2,FALSE),"")</f>
        <v>1</v>
      </c>
      <c r="H21" s="79">
        <f>IFERROR(VLOOKUP(B21,'Small Caps'!$B$6:$D$11,3,FALSE),"")</f>
        <v>4.8935000000000004</v>
      </c>
      <c r="I21" s="79">
        <f t="shared" si="6"/>
        <v>1197.2408016966715</v>
      </c>
      <c r="J21" s="79">
        <f>I21-F21</f>
        <v>-8.929198303328576</v>
      </c>
      <c r="K21" s="55">
        <f t="shared" si="8"/>
        <v>-7.4029351611535482E-3</v>
      </c>
      <c r="L21" t="str">
        <f t="shared" si="9"/>
        <v>📉 NEGATIVO</v>
      </c>
      <c r="M21">
        <f t="shared" ca="1" si="10"/>
        <v>8</v>
      </c>
    </row>
    <row r="22" spans="2:13" x14ac:dyDescent="0.3">
      <c r="B22" s="56" t="s">
        <v>190</v>
      </c>
      <c r="C22" s="56"/>
      <c r="D22" s="56"/>
      <c r="E22" s="56"/>
      <c r="F22" s="88">
        <f>SUMIF(F16:F21,"&gt;0")</f>
        <v>1406.17</v>
      </c>
      <c r="G22" s="56"/>
      <c r="H22" s="56"/>
      <c r="I22" s="88">
        <f>SUMIF(I16:I21,"&gt;0")</f>
        <v>1414.68449846005</v>
      </c>
      <c r="J22" s="88">
        <f t="shared" si="7"/>
        <v>8.5144984600499356</v>
      </c>
      <c r="K22" s="57">
        <f>IF(F22=0,"",J22/F22)</f>
        <v>6.0550989283300986E-3</v>
      </c>
      <c r="L22" s="56" t="str">
        <f t="shared" ref="L22" si="11">IF(K22="","",IF(K22&gt;0.1,"🚀 LUCRO",IF(K22&gt;0,"📈 POSITIVO",IF(K22&gt;-0.1,"📉 NEGATIVO","⚠️ ALERTA"))))</f>
        <v>📈 POSITIVO</v>
      </c>
      <c r="M22" s="56"/>
    </row>
    <row r="24" spans="2:13" ht="15.6" x14ac:dyDescent="0.3">
      <c r="B24" s="58" t="s">
        <v>191</v>
      </c>
      <c r="C24" s="58"/>
      <c r="D24" s="58"/>
      <c r="E24" s="58"/>
      <c r="F24" s="89">
        <f>F12+F22</f>
        <v>1406.17</v>
      </c>
      <c r="G24" s="58"/>
      <c r="H24" s="58"/>
      <c r="I24" s="89">
        <f>I12+I22</f>
        <v>1414.68449846005</v>
      </c>
      <c r="J24" s="89">
        <f>I24-F24</f>
        <v>8.5144984600499356</v>
      </c>
      <c r="K24" s="59">
        <f>IF(F24=0,"",J24/F24)</f>
        <v>6.0550989283300986E-3</v>
      </c>
      <c r="L24" s="58" t="str">
        <f>IF(K24="","",IF(K24&gt;0.1,"🚀 LUCRO",IF(K24&gt;0,"📈 POSITIVO",IF(K24&gt;-0.1,"📉 NEGATIVO","⚠️ ALERTA"))))</f>
        <v>📈 POSITIVO</v>
      </c>
      <c r="M24" s="58"/>
    </row>
    <row r="26" spans="2:13" x14ac:dyDescent="0.3">
      <c r="B26" s="28" t="s">
        <v>219</v>
      </c>
    </row>
    <row r="27" spans="2:13" x14ac:dyDescent="0.3">
      <c r="B27" t="s">
        <v>220</v>
      </c>
    </row>
    <row r="28" spans="2:13" x14ac:dyDescent="0.3">
      <c r="B28" t="s">
        <v>221</v>
      </c>
    </row>
    <row r="29" spans="2:13" x14ac:dyDescent="0.3">
      <c r="B29" t="s">
        <v>222</v>
      </c>
    </row>
    <row r="30" spans="2:13" x14ac:dyDescent="0.3">
      <c r="B30" t="s">
        <v>223</v>
      </c>
    </row>
    <row r="32" spans="2:13" x14ac:dyDescent="0.3">
      <c r="B32" s="122" t="s">
        <v>192</v>
      </c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</row>
  </sheetData>
  <mergeCells count="4">
    <mergeCell ref="B4:O4"/>
    <mergeCell ref="B2:N2"/>
    <mergeCell ref="B14:M14"/>
    <mergeCell ref="B32:M32"/>
  </mergeCells>
  <conditionalFormatting sqref="J6:J24">
    <cfRule type="cellIs" dxfId="13" priority="1" operator="lessThan">
      <formula>0</formula>
    </cfRule>
  </conditionalFormatting>
  <conditionalFormatting sqref="J6:J24">
    <cfRule type="cellIs" dxfId="12" priority="2" operator="greaterThan">
      <formula>0</formula>
    </cfRule>
  </conditionalFormatting>
  <conditionalFormatting sqref="K6:K24">
    <cfRule type="cellIs" dxfId="11" priority="3" operator="lessThan">
      <formula>0</formula>
    </cfRule>
  </conditionalFormatting>
  <conditionalFormatting sqref="K6:K24">
    <cfRule type="cellIs" dxfId="10" priority="4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486E-3053-4120-9132-E65923BC122D}">
  <sheetPr codeName="Planilha4"/>
  <dimension ref="B2:L51"/>
  <sheetViews>
    <sheetView topLeftCell="D1" workbookViewId="0">
      <selection activeCell="E8" sqref="E8"/>
    </sheetView>
  </sheetViews>
  <sheetFormatPr defaultRowHeight="14.4" x14ac:dyDescent="0.3"/>
  <cols>
    <col min="2" max="2" width="19.44140625" bestFit="1" customWidth="1"/>
    <col min="3" max="3" width="24.109375" customWidth="1"/>
    <col min="4" max="8" width="16.6640625" customWidth="1"/>
    <col min="9" max="9" width="18.5546875" customWidth="1"/>
    <col min="10" max="10" width="15.6640625" bestFit="1" customWidth="1"/>
    <col min="11" max="11" width="22.21875" customWidth="1"/>
    <col min="12" max="12" width="16.6640625" customWidth="1"/>
  </cols>
  <sheetData>
    <row r="2" spans="2:12" ht="34.950000000000003" customHeight="1" x14ac:dyDescent="0.4">
      <c r="B2" s="120" t="s">
        <v>193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</row>
    <row r="4" spans="2:12" x14ac:dyDescent="0.3">
      <c r="B4" s="54" t="s">
        <v>194</v>
      </c>
      <c r="C4" s="54" t="s">
        <v>1</v>
      </c>
      <c r="D4" s="54" t="s">
        <v>195</v>
      </c>
      <c r="E4" s="54" t="s">
        <v>178</v>
      </c>
      <c r="F4" s="54" t="s">
        <v>179</v>
      </c>
      <c r="G4" s="54" t="s">
        <v>246</v>
      </c>
      <c r="H4" s="54" t="s">
        <v>247</v>
      </c>
      <c r="I4" s="54" t="s">
        <v>248</v>
      </c>
      <c r="J4" s="54" t="s">
        <v>249</v>
      </c>
      <c r="K4" s="54" t="s">
        <v>196</v>
      </c>
      <c r="L4" s="54" t="s">
        <v>84</v>
      </c>
    </row>
    <row r="5" spans="2:12" x14ac:dyDescent="0.3">
      <c r="B5" s="62">
        <v>1</v>
      </c>
      <c r="C5" s="76" t="s">
        <v>5</v>
      </c>
      <c r="D5" s="76" t="s">
        <v>224</v>
      </c>
      <c r="E5" s="74">
        <v>46131</v>
      </c>
      <c r="F5" s="77">
        <v>22.807169999999999</v>
      </c>
      <c r="G5" s="75">
        <f>IF(AND(H5&lt;&gt;"",J5&lt;&gt;""),H5/J5,"")</f>
        <v>1.7503337626123154</v>
      </c>
      <c r="H5" s="81">
        <f>IF(AND(F5&lt;&gt;"",I5&lt;&gt;""),I5/F5,"")</f>
        <v>8.7691721506876998</v>
      </c>
      <c r="I5" s="81">
        <v>200</v>
      </c>
      <c r="J5" s="81">
        <v>5.01</v>
      </c>
      <c r="K5" s="76"/>
      <c r="L5" s="76" t="s">
        <v>225</v>
      </c>
    </row>
    <row r="6" spans="2:12" x14ac:dyDescent="0.3">
      <c r="B6" s="62">
        <v>2</v>
      </c>
      <c r="C6" s="76" t="s">
        <v>243</v>
      </c>
      <c r="D6" s="76" t="s">
        <v>224</v>
      </c>
      <c r="E6" s="74">
        <v>46134</v>
      </c>
      <c r="F6" s="77">
        <v>41.407373159999999</v>
      </c>
      <c r="G6" s="75">
        <f>IF(AND(H6&lt;&gt;"",J6&lt;&gt;""),H6/J6,"")</f>
        <v>0.99981223714927125</v>
      </c>
      <c r="H6" s="81">
        <f>IF(AND(F6&lt;&gt;"",I6&lt;&gt;""),I6/F6,"")</f>
        <v>4.9790649410033714</v>
      </c>
      <c r="I6" s="81">
        <v>206.17</v>
      </c>
      <c r="J6" s="81">
        <v>4.9800000000000004</v>
      </c>
      <c r="K6" s="76" t="s">
        <v>245</v>
      </c>
      <c r="L6" s="76" t="s">
        <v>225</v>
      </c>
    </row>
    <row r="7" spans="2:12" x14ac:dyDescent="0.3">
      <c r="B7" s="62">
        <v>3</v>
      </c>
      <c r="C7" s="76" t="s">
        <v>243</v>
      </c>
      <c r="D7" s="76" t="s">
        <v>224</v>
      </c>
      <c r="E7" s="114">
        <v>46147</v>
      </c>
      <c r="F7" s="77">
        <f>I7/H7</f>
        <v>203.2520325203252</v>
      </c>
      <c r="G7" s="75">
        <f>IF(AND(H7&lt;&gt;"",J7&lt;&gt;""),H7/J7,"")</f>
        <v>1</v>
      </c>
      <c r="H7" s="81">
        <f>J7</f>
        <v>4.92</v>
      </c>
      <c r="I7" s="81">
        <v>1000</v>
      </c>
      <c r="J7" s="81">
        <v>4.92</v>
      </c>
      <c r="K7" s="76" t="s">
        <v>250</v>
      </c>
      <c r="L7" s="76" t="s">
        <v>225</v>
      </c>
    </row>
    <row r="8" spans="2:12" x14ac:dyDescent="0.3">
      <c r="B8" s="62">
        <v>4</v>
      </c>
      <c r="C8" s="76"/>
      <c r="D8" s="76"/>
      <c r="E8" s="74"/>
      <c r="F8" s="77"/>
      <c r="G8" s="75">
        <f t="shared" ref="G8:G24" ca="1" si="0">IF(AND(H8&lt;&gt;"",J8&lt;&gt;""),H8/J8,"")</f>
        <v>0</v>
      </c>
      <c r="H8" s="81">
        <f t="shared" ref="H8:H24" ca="1" si="1">IF(AND(F8&lt;&gt;"",I8&lt;&gt;""),I8/F8,"")</f>
        <v>0</v>
      </c>
      <c r="I8" s="81" t="str">
        <f t="shared" ref="I8:I24" ca="1" si="2">IF(AND(F8&lt;&gt;"",H8&lt;&gt;""),F8*H8,"")</f>
        <v/>
      </c>
      <c r="J8" s="81" t="str">
        <f ca="1">IF(G8&lt;&gt;"",'Preços Crypto'!$C$19,"")</f>
        <v/>
      </c>
      <c r="K8" s="76"/>
      <c r="L8" s="76"/>
    </row>
    <row r="9" spans="2:12" x14ac:dyDescent="0.3">
      <c r="B9" s="62">
        <v>5</v>
      </c>
      <c r="C9" s="76"/>
      <c r="D9" s="76"/>
      <c r="E9" s="74"/>
      <c r="F9" s="77"/>
      <c r="G9" s="75">
        <f t="shared" ca="1" si="0"/>
        <v>0</v>
      </c>
      <c r="H9" s="81">
        <f t="shared" ca="1" si="1"/>
        <v>0</v>
      </c>
      <c r="I9" s="81" t="str">
        <f t="shared" ca="1" si="2"/>
        <v/>
      </c>
      <c r="J9" s="81" t="str">
        <f ca="1">IF(G9&lt;&gt;"",'Preços Crypto'!$C$19,"")</f>
        <v/>
      </c>
      <c r="K9" s="76"/>
      <c r="L9" s="76"/>
    </row>
    <row r="10" spans="2:12" x14ac:dyDescent="0.3">
      <c r="B10" s="62">
        <v>6</v>
      </c>
      <c r="C10" s="76"/>
      <c r="D10" s="76"/>
      <c r="E10" s="74"/>
      <c r="F10" s="77"/>
      <c r="G10" s="75">
        <f t="shared" ca="1" si="0"/>
        <v>0</v>
      </c>
      <c r="H10" s="81">
        <f t="shared" ca="1" si="1"/>
        <v>0</v>
      </c>
      <c r="I10" s="81" t="str">
        <f t="shared" ca="1" si="2"/>
        <v/>
      </c>
      <c r="J10" s="81" t="str">
        <f ca="1">IF(G10&lt;&gt;"",'Preços Crypto'!$C$19,"")</f>
        <v/>
      </c>
      <c r="K10" s="76"/>
      <c r="L10" s="76"/>
    </row>
    <row r="11" spans="2:12" x14ac:dyDescent="0.3">
      <c r="B11" s="62">
        <v>7</v>
      </c>
      <c r="C11" s="76"/>
      <c r="D11" s="76"/>
      <c r="E11" s="74"/>
      <c r="F11" s="77"/>
      <c r="G11" s="75">
        <f t="shared" ca="1" si="0"/>
        <v>0</v>
      </c>
      <c r="H11" s="81">
        <f t="shared" ca="1" si="1"/>
        <v>0</v>
      </c>
      <c r="I11" s="81" t="str">
        <f t="shared" ca="1" si="2"/>
        <v/>
      </c>
      <c r="J11" s="81" t="str">
        <f ca="1">IF(G11&lt;&gt;"",'Preços Crypto'!$C$19,"")</f>
        <v/>
      </c>
      <c r="K11" s="76"/>
      <c r="L11" s="76"/>
    </row>
    <row r="12" spans="2:12" x14ac:dyDescent="0.3">
      <c r="B12" s="62">
        <v>8</v>
      </c>
      <c r="C12" s="76"/>
      <c r="D12" s="76"/>
      <c r="E12" s="74"/>
      <c r="F12" s="77"/>
      <c r="G12" s="75">
        <f t="shared" ca="1" si="0"/>
        <v>0</v>
      </c>
      <c r="H12" s="81">
        <f t="shared" ca="1" si="1"/>
        <v>0</v>
      </c>
      <c r="I12" s="81" t="str">
        <f t="shared" ca="1" si="2"/>
        <v/>
      </c>
      <c r="J12" s="81" t="str">
        <f ca="1">IF(G12&lt;&gt;"",'Preços Crypto'!$C$19,"")</f>
        <v/>
      </c>
      <c r="K12" s="76"/>
      <c r="L12" s="76"/>
    </row>
    <row r="13" spans="2:12" x14ac:dyDescent="0.3">
      <c r="B13" s="62">
        <v>9</v>
      </c>
      <c r="C13" s="76"/>
      <c r="D13" s="76"/>
      <c r="E13" s="74"/>
      <c r="F13" s="77"/>
      <c r="G13" s="75">
        <f t="shared" ca="1" si="0"/>
        <v>0</v>
      </c>
      <c r="H13" s="81">
        <f t="shared" ca="1" si="1"/>
        <v>0</v>
      </c>
      <c r="I13" s="81" t="str">
        <f t="shared" ca="1" si="2"/>
        <v/>
      </c>
      <c r="J13" s="81" t="str">
        <f ca="1">IF(G13&lt;&gt;"",'Preços Crypto'!$C$19,"")</f>
        <v/>
      </c>
      <c r="K13" s="76"/>
      <c r="L13" s="76"/>
    </row>
    <row r="14" spans="2:12" x14ac:dyDescent="0.3">
      <c r="B14" s="62">
        <v>10</v>
      </c>
      <c r="C14" s="76"/>
      <c r="D14" s="76"/>
      <c r="E14" s="74"/>
      <c r="F14" s="77"/>
      <c r="G14" s="75">
        <f t="shared" ca="1" si="0"/>
        <v>0</v>
      </c>
      <c r="H14" s="81">
        <f t="shared" ca="1" si="1"/>
        <v>0</v>
      </c>
      <c r="I14" s="81" t="str">
        <f t="shared" ca="1" si="2"/>
        <v/>
      </c>
      <c r="J14" s="81" t="str">
        <f ca="1">IF(G14&lt;&gt;"",'Preços Crypto'!$C$19,"")</f>
        <v/>
      </c>
      <c r="K14" s="76"/>
      <c r="L14" s="76"/>
    </row>
    <row r="15" spans="2:12" x14ac:dyDescent="0.3">
      <c r="B15" s="62">
        <v>11</v>
      </c>
      <c r="C15" s="76"/>
      <c r="D15" s="76"/>
      <c r="E15" s="74"/>
      <c r="F15" s="77"/>
      <c r="G15" s="75">
        <f t="shared" ca="1" si="0"/>
        <v>0</v>
      </c>
      <c r="H15" s="81">
        <f t="shared" ca="1" si="1"/>
        <v>0</v>
      </c>
      <c r="I15" s="81" t="str">
        <f t="shared" ca="1" si="2"/>
        <v/>
      </c>
      <c r="J15" s="81" t="str">
        <f ca="1">IF(G15&lt;&gt;"",'Preços Crypto'!$C$19,"")</f>
        <v/>
      </c>
      <c r="K15" s="76"/>
      <c r="L15" s="76"/>
    </row>
    <row r="16" spans="2:12" x14ac:dyDescent="0.3">
      <c r="B16" s="62">
        <v>12</v>
      </c>
      <c r="C16" s="76"/>
      <c r="D16" s="76"/>
      <c r="E16" s="74"/>
      <c r="F16" s="77"/>
      <c r="G16" s="75">
        <f t="shared" ca="1" si="0"/>
        <v>0</v>
      </c>
      <c r="H16" s="81">
        <f t="shared" ca="1" si="1"/>
        <v>0</v>
      </c>
      <c r="I16" s="81" t="str">
        <f t="shared" ca="1" si="2"/>
        <v/>
      </c>
      <c r="J16" s="81" t="str">
        <f ca="1">IF(G16&lt;&gt;"",'Preços Crypto'!$C$19,"")</f>
        <v/>
      </c>
      <c r="K16" s="76"/>
      <c r="L16" s="76"/>
    </row>
    <row r="17" spans="2:12" x14ac:dyDescent="0.3">
      <c r="B17" s="62">
        <v>13</v>
      </c>
      <c r="C17" s="76"/>
      <c r="D17" s="76"/>
      <c r="E17" s="74"/>
      <c r="F17" s="77"/>
      <c r="G17" s="75">
        <f t="shared" ca="1" si="0"/>
        <v>0</v>
      </c>
      <c r="H17" s="81">
        <f t="shared" ca="1" si="1"/>
        <v>0</v>
      </c>
      <c r="I17" s="81" t="str">
        <f t="shared" ca="1" si="2"/>
        <v/>
      </c>
      <c r="J17" s="81" t="str">
        <f ca="1">IF(G17&lt;&gt;"",'Preços Crypto'!$C$19,"")</f>
        <v/>
      </c>
      <c r="K17" s="76"/>
      <c r="L17" s="76"/>
    </row>
    <row r="18" spans="2:12" x14ac:dyDescent="0.3">
      <c r="B18" s="62">
        <v>14</v>
      </c>
      <c r="C18" s="76"/>
      <c r="D18" s="76"/>
      <c r="E18" s="74"/>
      <c r="F18" s="77"/>
      <c r="G18" s="75">
        <f t="shared" ca="1" si="0"/>
        <v>0</v>
      </c>
      <c r="H18" s="81">
        <f t="shared" ca="1" si="1"/>
        <v>0</v>
      </c>
      <c r="I18" s="81" t="str">
        <f t="shared" ca="1" si="2"/>
        <v/>
      </c>
      <c r="J18" s="81" t="str">
        <f ca="1">IF(G18&lt;&gt;"",'Preços Crypto'!$C$19,"")</f>
        <v/>
      </c>
      <c r="K18" s="76"/>
      <c r="L18" s="76"/>
    </row>
    <row r="19" spans="2:12" x14ac:dyDescent="0.3">
      <c r="B19" s="62">
        <v>15</v>
      </c>
      <c r="C19" s="76"/>
      <c r="D19" s="76"/>
      <c r="E19" s="74"/>
      <c r="F19" s="77"/>
      <c r="G19" s="75">
        <f t="shared" ca="1" si="0"/>
        <v>0</v>
      </c>
      <c r="H19" s="81">
        <f t="shared" ca="1" si="1"/>
        <v>0</v>
      </c>
      <c r="I19" s="81" t="str">
        <f t="shared" ca="1" si="2"/>
        <v/>
      </c>
      <c r="J19" s="81" t="str">
        <f ca="1">IF(G19&lt;&gt;"",'Preços Crypto'!$C$19,"")</f>
        <v/>
      </c>
      <c r="K19" s="76"/>
      <c r="L19" s="76"/>
    </row>
    <row r="20" spans="2:12" x14ac:dyDescent="0.3">
      <c r="B20" s="62">
        <v>16</v>
      </c>
      <c r="C20" s="76"/>
      <c r="D20" s="76"/>
      <c r="E20" s="74"/>
      <c r="F20" s="77"/>
      <c r="G20" s="75">
        <f t="shared" ca="1" si="0"/>
        <v>0</v>
      </c>
      <c r="H20" s="81">
        <f t="shared" ca="1" si="1"/>
        <v>0</v>
      </c>
      <c r="I20" s="81" t="str">
        <f t="shared" ca="1" si="2"/>
        <v/>
      </c>
      <c r="J20" s="81" t="str">
        <f ca="1">IF(G20&lt;&gt;"",'Preços Crypto'!$C$19,"")</f>
        <v/>
      </c>
      <c r="K20" s="76"/>
      <c r="L20" s="76"/>
    </row>
    <row r="21" spans="2:12" x14ac:dyDescent="0.3">
      <c r="B21" s="62">
        <v>17</v>
      </c>
      <c r="C21" s="76"/>
      <c r="D21" s="76"/>
      <c r="E21" s="74"/>
      <c r="F21" s="77"/>
      <c r="G21" s="75">
        <f t="shared" ca="1" si="0"/>
        <v>0</v>
      </c>
      <c r="H21" s="81">
        <f t="shared" ca="1" si="1"/>
        <v>0</v>
      </c>
      <c r="I21" s="81" t="str">
        <f t="shared" ca="1" si="2"/>
        <v/>
      </c>
      <c r="J21" s="81" t="str">
        <f ca="1">IF(G21&lt;&gt;"",'Preços Crypto'!$C$19,"")</f>
        <v/>
      </c>
      <c r="K21" s="76"/>
      <c r="L21" s="76"/>
    </row>
    <row r="22" spans="2:12" x14ac:dyDescent="0.3">
      <c r="B22" s="62">
        <v>18</v>
      </c>
      <c r="C22" s="76"/>
      <c r="D22" s="76"/>
      <c r="E22" s="74"/>
      <c r="F22" s="77"/>
      <c r="G22" s="75">
        <f t="shared" ca="1" si="0"/>
        <v>0</v>
      </c>
      <c r="H22" s="81">
        <f t="shared" ca="1" si="1"/>
        <v>0</v>
      </c>
      <c r="I22" s="81" t="str">
        <f t="shared" ca="1" si="2"/>
        <v/>
      </c>
      <c r="J22" s="81" t="str">
        <f ca="1">IF(G22&lt;&gt;"",'Preços Crypto'!$C$19,"")</f>
        <v/>
      </c>
      <c r="K22" s="76"/>
      <c r="L22" s="76"/>
    </row>
    <row r="23" spans="2:12" x14ac:dyDescent="0.3">
      <c r="B23" s="62">
        <v>19</v>
      </c>
      <c r="C23" s="76"/>
      <c r="D23" s="76"/>
      <c r="E23" s="74"/>
      <c r="F23" s="77"/>
      <c r="G23" s="75">
        <f t="shared" ca="1" si="0"/>
        <v>0</v>
      </c>
      <c r="H23" s="81">
        <f t="shared" ca="1" si="1"/>
        <v>0</v>
      </c>
      <c r="I23" s="81" t="str">
        <f t="shared" ca="1" si="2"/>
        <v/>
      </c>
      <c r="J23" s="81" t="str">
        <f ca="1">IF(G23&lt;&gt;"",'Preços Crypto'!$C$19,"")</f>
        <v/>
      </c>
      <c r="K23" s="76"/>
      <c r="L23" s="76"/>
    </row>
    <row r="24" spans="2:12" x14ac:dyDescent="0.3">
      <c r="B24" s="62">
        <v>20</v>
      </c>
      <c r="C24" s="76"/>
      <c r="D24" s="76"/>
      <c r="E24" s="74"/>
      <c r="F24" s="77"/>
      <c r="G24" s="75">
        <f t="shared" ca="1" si="0"/>
        <v>0</v>
      </c>
      <c r="H24" s="81">
        <f t="shared" ca="1" si="1"/>
        <v>0</v>
      </c>
      <c r="I24" s="81" t="str">
        <f t="shared" ca="1" si="2"/>
        <v/>
      </c>
      <c r="J24" s="81" t="str">
        <f ca="1">IF(G24&lt;&gt;"",'Preços Crypto'!$C$19,"")</f>
        <v/>
      </c>
      <c r="K24" s="76"/>
      <c r="L24" s="76"/>
    </row>
    <row r="27" spans="2:12" ht="30" customHeight="1" x14ac:dyDescent="0.35">
      <c r="B27" s="150" t="s">
        <v>197</v>
      </c>
      <c r="C27" s="121"/>
      <c r="D27" s="121"/>
      <c r="E27" s="121"/>
      <c r="F27" s="121"/>
      <c r="G27" s="121"/>
      <c r="H27" s="121"/>
      <c r="I27" s="121"/>
      <c r="J27" s="121"/>
    </row>
    <row r="29" spans="2:12" x14ac:dyDescent="0.3">
      <c r="B29" s="63" t="s">
        <v>1</v>
      </c>
      <c r="C29" s="63" t="s">
        <v>198</v>
      </c>
      <c r="D29" s="63" t="s">
        <v>199</v>
      </c>
      <c r="E29" s="63" t="s">
        <v>200</v>
      </c>
      <c r="F29" s="63" t="s">
        <v>201</v>
      </c>
      <c r="G29" s="63" t="s">
        <v>202</v>
      </c>
      <c r="H29" s="63" t="s">
        <v>203</v>
      </c>
      <c r="I29" s="63" t="s">
        <v>204</v>
      </c>
      <c r="J29" s="63" t="s">
        <v>205</v>
      </c>
    </row>
    <row r="30" spans="2:12" x14ac:dyDescent="0.3">
      <c r="B30" s="65" t="s">
        <v>24</v>
      </c>
      <c r="C30" s="66">
        <f>SUMIFS(F5:F24,C5:C24,B30,L5:L24,"✅ ATIVO")</f>
        <v>0</v>
      </c>
      <c r="D30" s="81">
        <f>SUMIFS(I5:I24,C5:C24,B30,L5:L24,"✅ ATIVO")</f>
        <v>0</v>
      </c>
      <c r="E30" s="81" t="str">
        <f t="shared" ref="E30:E40" si="3">IF(C30&gt;0,D30/C30,"")</f>
        <v/>
      </c>
      <c r="F30" s="81">
        <f>'Preços Crypto'!D11</f>
        <v>52.28313270000001</v>
      </c>
      <c r="G30" s="81" t="str">
        <f t="shared" ref="G30:G40" si="4">IF(C30&gt;0,C30*F30,"")</f>
        <v/>
      </c>
      <c r="H30" s="90" t="str">
        <f t="shared" ref="H30:H40" si="5">IF(C30&gt;0,G30-D30,"")</f>
        <v/>
      </c>
      <c r="I30" s="67" t="str">
        <f t="shared" ref="I30:I40" si="6">IF(D30&gt;0,(G30-D30)/D30,"")</f>
        <v/>
      </c>
      <c r="J30" s="83">
        <f>COUNTIFS(C5:C24,B30,L5:L24,"✅ ATIVO")</f>
        <v>0</v>
      </c>
    </row>
    <row r="31" spans="2:12" x14ac:dyDescent="0.3">
      <c r="B31" s="68" t="s">
        <v>23</v>
      </c>
      <c r="C31" s="69">
        <f>SUMIFS(F5:F24,C5:C24,B31,L5:L24,"✅ ATIVO")</f>
        <v>0</v>
      </c>
      <c r="D31" s="91">
        <f>SUMIFS(I5:I24,C5:C24,B31,L5:L24,"✅ ATIVO")</f>
        <v>0</v>
      </c>
      <c r="E31" s="91" t="str">
        <f t="shared" si="3"/>
        <v/>
      </c>
      <c r="F31" s="91">
        <f>'Preços Crypto'!D10</f>
        <v>487.37889820000004</v>
      </c>
      <c r="G31" s="91" t="str">
        <f t="shared" si="4"/>
        <v/>
      </c>
      <c r="H31" s="90" t="str">
        <f t="shared" si="5"/>
        <v/>
      </c>
      <c r="I31" s="70" t="str">
        <f t="shared" si="6"/>
        <v/>
      </c>
      <c r="J31" s="84">
        <f>COUNTIFS(C5:C24,B31,L5:L24,"✅ ATIVO")</f>
        <v>0</v>
      </c>
    </row>
    <row r="32" spans="2:12" x14ac:dyDescent="0.3">
      <c r="B32" s="65" t="s">
        <v>25</v>
      </c>
      <c r="C32" s="66">
        <f>SUMIFS(F5:F24,C5:C24,B32,L5:L24,"✅ ATIVO")</f>
        <v>0</v>
      </c>
      <c r="D32" s="81">
        <f>SUMIFS(I5:I24,C5:C24,B32,L5:L24,"✅ ATIVO")</f>
        <v>0</v>
      </c>
      <c r="E32" s="81" t="str">
        <f t="shared" si="3"/>
        <v/>
      </c>
      <c r="F32" s="81">
        <f>'Preços Crypto'!D12</f>
        <v>49.54717685</v>
      </c>
      <c r="G32" s="81" t="str">
        <f t="shared" si="4"/>
        <v/>
      </c>
      <c r="H32" s="90" t="str">
        <f t="shared" si="5"/>
        <v/>
      </c>
      <c r="I32" s="67" t="str">
        <f t="shared" si="6"/>
        <v/>
      </c>
      <c r="J32" s="83">
        <f>COUNTIFS(C5:C24,B32,L5:L24,"✅ ATIVO")</f>
        <v>0</v>
      </c>
    </row>
    <row r="33" spans="2:10" x14ac:dyDescent="0.3">
      <c r="B33" s="68" t="s">
        <v>26</v>
      </c>
      <c r="C33" s="69">
        <f>SUMIFS(F5:F24,C5:C24,B33,L5:L24,"✅ ATIVO")</f>
        <v>0</v>
      </c>
      <c r="D33" s="91">
        <f>SUMIFS(I5:I24,C5:C24,B33,L5:L24,"✅ ATIVO")</f>
        <v>0</v>
      </c>
      <c r="E33" s="91" t="str">
        <f t="shared" si="3"/>
        <v/>
      </c>
      <c r="F33" s="91">
        <f>'Preços Crypto'!D13</f>
        <v>7.9181723500000007</v>
      </c>
      <c r="G33" s="91" t="str">
        <f t="shared" si="4"/>
        <v/>
      </c>
      <c r="H33" s="90" t="str">
        <f t="shared" si="5"/>
        <v/>
      </c>
      <c r="I33" s="70" t="str">
        <f t="shared" si="6"/>
        <v/>
      </c>
      <c r="J33" s="84">
        <f>COUNTIFS(C5:C24,B33,L5:L24,"✅ ATIVO")</f>
        <v>0</v>
      </c>
    </row>
    <row r="34" spans="2:10" x14ac:dyDescent="0.3">
      <c r="B34" s="65" t="s">
        <v>27</v>
      </c>
      <c r="C34" s="66">
        <f>SUMIFS(F5:F24,C5:C24,B34,L5:L24,"✅ ATIVO")</f>
        <v>0</v>
      </c>
      <c r="D34" s="81">
        <f>SUMIFS(I5:I24,C5:C24,B34,L5:L24,"✅ ATIVO")</f>
        <v>0</v>
      </c>
      <c r="E34" s="81" t="str">
        <f t="shared" si="3"/>
        <v/>
      </c>
      <c r="F34" s="81">
        <f>'Preços Crypto'!D14</f>
        <v>467.31456950000006</v>
      </c>
      <c r="G34" s="81" t="str">
        <f t="shared" si="4"/>
        <v/>
      </c>
      <c r="H34" s="90" t="str">
        <f t="shared" si="5"/>
        <v/>
      </c>
      <c r="I34" s="67" t="str">
        <f t="shared" si="6"/>
        <v/>
      </c>
      <c r="J34" s="83">
        <f>COUNTIFS(C5:C24,B34,L5:L24,"✅ ATIVO")</f>
        <v>0</v>
      </c>
    </row>
    <row r="35" spans="2:10" x14ac:dyDescent="0.3">
      <c r="B35" s="68" t="s">
        <v>21</v>
      </c>
      <c r="C35" s="69">
        <f>SUMIFS(F5:F24,C5:C24,B35,L5:L24,"✅ ATIVO")</f>
        <v>0</v>
      </c>
      <c r="D35" s="91">
        <f>SUMIFS(I5:I24,C5:C24,B35,L5:L24,"✅ ATIVO")</f>
        <v>0</v>
      </c>
      <c r="E35" s="91" t="str">
        <f t="shared" si="3"/>
        <v/>
      </c>
      <c r="F35" s="91">
        <f>'Preços Crypto'!D8</f>
        <v>3344.8271407500001</v>
      </c>
      <c r="G35" s="91" t="str">
        <f t="shared" si="4"/>
        <v/>
      </c>
      <c r="H35" s="90" t="str">
        <f t="shared" si="5"/>
        <v/>
      </c>
      <c r="I35" s="70" t="str">
        <f t="shared" si="6"/>
        <v/>
      </c>
      <c r="J35" s="84">
        <f>COUNTIFS(C5:C24,B35,L5:L24,"✅ ATIVO")</f>
        <v>0</v>
      </c>
    </row>
    <row r="36" spans="2:10" x14ac:dyDescent="0.3">
      <c r="B36" s="65" t="s">
        <v>5</v>
      </c>
      <c r="C36" s="66">
        <f>SUMIFS(F5:F24,C5:C24,B36,L5:L24,"✅ ATIVO")</f>
        <v>22.807169999999999</v>
      </c>
      <c r="D36" s="81">
        <f>SUMIFS(I5:I24,C5:C24,B36,L5:L24,"✅ ATIVO")</f>
        <v>200</v>
      </c>
      <c r="E36" s="81">
        <f t="shared" si="3"/>
        <v>8.7691721506876998</v>
      </c>
      <c r="F36" s="81">
        <f>'Small Caps'!D6</f>
        <v>9.5340060500000003</v>
      </c>
      <c r="G36" s="81">
        <f t="shared" si="4"/>
        <v>217.44369676337851</v>
      </c>
      <c r="H36" s="90">
        <f t="shared" si="5"/>
        <v>17.443696763378512</v>
      </c>
      <c r="I36" s="67">
        <f t="shared" si="6"/>
        <v>8.7218483816892553E-2</v>
      </c>
      <c r="J36" s="83">
        <f>COUNTIFS(C5:C24,B36,L5:L24,"✅ ATIVO")</f>
        <v>1</v>
      </c>
    </row>
    <row r="37" spans="2:10" x14ac:dyDescent="0.3">
      <c r="B37" s="68" t="s">
        <v>7</v>
      </c>
      <c r="C37" s="69">
        <f>SUMIFS(F5:F24,C5:C24,B37,L5:L24,"✅ ATIVO")</f>
        <v>0</v>
      </c>
      <c r="D37" s="91">
        <f>SUMIFS(I5:I24,C5:C24,B37,L5:L24,"✅ ATIVO")</f>
        <v>0</v>
      </c>
      <c r="E37" s="91" t="str">
        <f t="shared" si="3"/>
        <v/>
      </c>
      <c r="F37" s="91">
        <f>'Small Caps'!D7</f>
        <v>28.954839500000002</v>
      </c>
      <c r="G37" s="91" t="str">
        <f t="shared" si="4"/>
        <v/>
      </c>
      <c r="H37" s="90" t="str">
        <f t="shared" si="5"/>
        <v/>
      </c>
      <c r="I37" s="70" t="str">
        <f t="shared" si="6"/>
        <v/>
      </c>
      <c r="J37" s="84">
        <f>COUNTIFS(C5:C24,B37,L5:L24,"✅ ATIVO")</f>
        <v>0</v>
      </c>
    </row>
    <row r="38" spans="2:10" x14ac:dyDescent="0.3">
      <c r="B38" s="65" t="s">
        <v>9</v>
      </c>
      <c r="C38" s="66">
        <f>SUMIFS(F5:F24,C5:C24,B38,L5:L24,"✅ ATIVO")</f>
        <v>0</v>
      </c>
      <c r="D38" s="81">
        <f>SUMIFS(I5:I24,C5:C24,B38,L5:L24,"✅ ATIVO")</f>
        <v>0</v>
      </c>
      <c r="E38" s="81" t="str">
        <f t="shared" si="3"/>
        <v/>
      </c>
      <c r="F38" s="81">
        <f>'Small Caps'!D8</f>
        <v>2.47660035</v>
      </c>
      <c r="G38" s="81" t="str">
        <f t="shared" si="4"/>
        <v/>
      </c>
      <c r="H38" s="90" t="str">
        <f t="shared" si="5"/>
        <v/>
      </c>
      <c r="I38" s="67" t="str">
        <f t="shared" si="6"/>
        <v/>
      </c>
      <c r="J38" s="83">
        <f>COUNTIFS(C5:C24,B38,L5:L24,"✅ ATIVO")</f>
        <v>0</v>
      </c>
    </row>
    <row r="39" spans="2:10" x14ac:dyDescent="0.3">
      <c r="B39" s="68" t="s">
        <v>11</v>
      </c>
      <c r="C39" s="69">
        <f>SUMIFS(F5:F24,C5:C24,B39,L5:L24,"✅ ATIVO")</f>
        <v>0</v>
      </c>
      <c r="D39" s="91">
        <f>SUMIFS(I5:I24,C5:C24,B39,L5:L24,"✅ ATIVO")</f>
        <v>0</v>
      </c>
      <c r="E39" s="91" t="str">
        <f t="shared" si="3"/>
        <v/>
      </c>
      <c r="F39" s="91">
        <f>'Small Caps'!D9</f>
        <v>0.14386889999999999</v>
      </c>
      <c r="G39" s="91" t="str">
        <f t="shared" si="4"/>
        <v/>
      </c>
      <c r="H39" s="90" t="str">
        <f t="shared" si="5"/>
        <v/>
      </c>
      <c r="I39" s="70" t="str">
        <f t="shared" si="6"/>
        <v/>
      </c>
      <c r="J39" s="84">
        <f>COUNTIFS(C5:C24,B39,L5:L24,"✅ ATIVO")</f>
        <v>0</v>
      </c>
    </row>
    <row r="40" spans="2:10" x14ac:dyDescent="0.3">
      <c r="B40" s="65" t="s">
        <v>13</v>
      </c>
      <c r="C40" s="66">
        <f>SUMIFS(F5:F24,C5:C24,B40,L5:L24,"✅ ATIVO")</f>
        <v>0</v>
      </c>
      <c r="D40" s="81">
        <f>SUMIFS(I5:I24,C5:C24,B40,L5:L24,"✅ ATIVO")</f>
        <v>0</v>
      </c>
      <c r="E40" s="81" t="str">
        <f t="shared" si="3"/>
        <v/>
      </c>
      <c r="F40" s="81">
        <f>'Small Caps'!D10</f>
        <v>0.34499174999999999</v>
      </c>
      <c r="G40" s="81" t="str">
        <f t="shared" si="4"/>
        <v/>
      </c>
      <c r="H40" s="90" t="str">
        <f t="shared" si="5"/>
        <v/>
      </c>
      <c r="I40" s="67" t="str">
        <f t="shared" si="6"/>
        <v/>
      </c>
      <c r="J40" s="83">
        <f>COUNTIFS(C5:C24,B40,L5:L24,"✅ ATIVO")</f>
        <v>0</v>
      </c>
    </row>
    <row r="41" spans="2:10" x14ac:dyDescent="0.3">
      <c r="B41" s="68" t="s">
        <v>243</v>
      </c>
      <c r="C41" s="82">
        <f>SUMIFS(F5:F24,C5:C24,B41,L5:L24,"✅ ATIVO")</f>
        <v>244.65940568032519</v>
      </c>
      <c r="D41" s="79">
        <f>SUMIFS(I5:I24,C5:C24,B41,L5:L24,"✅ ATIVO")</f>
        <v>1206.17</v>
      </c>
      <c r="E41" s="79">
        <f>IF(C41&gt;0,D41/C41,"")</f>
        <v>4.929996444019797</v>
      </c>
      <c r="F41" s="79">
        <f>'Preços Crypto'!$C$19</f>
        <v>4.8935000000000004</v>
      </c>
      <c r="G41" s="79">
        <f>IF(C41&gt;0,C41*F41,"")</f>
        <v>1197.2408016966715</v>
      </c>
      <c r="H41" s="79">
        <f>IF(C41&gt;0,G41-D41,"")</f>
        <v>-8.929198303328576</v>
      </c>
      <c r="I41" s="55">
        <f>IF(D41&gt;0,(G41-D41)/D41,"")</f>
        <v>-7.4029351611535482E-3</v>
      </c>
      <c r="J41" s="85">
        <f>COUNTIFS(C5:C24,B41,L5:L24,"✅ ATIVO")</f>
        <v>2</v>
      </c>
    </row>
    <row r="42" spans="2:10" x14ac:dyDescent="0.3">
      <c r="B42" s="71" t="s">
        <v>206</v>
      </c>
      <c r="C42" s="72">
        <f>SUM(C30:C41)</f>
        <v>267.46657568032521</v>
      </c>
      <c r="D42" s="92">
        <f>SUM(D30:D41)</f>
        <v>1406.17</v>
      </c>
      <c r="E42" s="92" t="s">
        <v>207</v>
      </c>
      <c r="F42" s="92" t="s">
        <v>207</v>
      </c>
      <c r="G42" s="92">
        <f>SUM(G30:G41)</f>
        <v>1414.68449846005</v>
      </c>
      <c r="H42" s="92">
        <f>SUM(H30:H41)</f>
        <v>8.5144984600499356</v>
      </c>
      <c r="I42" s="73">
        <f>IF(D42&gt;0,(G42-D42)/D42,"")</f>
        <v>6.0550989283300986E-3</v>
      </c>
      <c r="J42" s="86">
        <f>SUM(J30:J41)</f>
        <v>3</v>
      </c>
    </row>
    <row r="45" spans="2:10" ht="15.6" x14ac:dyDescent="0.3">
      <c r="B45" s="151" t="s">
        <v>208</v>
      </c>
      <c r="C45" s="121"/>
      <c r="D45" s="121"/>
      <c r="E45" s="121"/>
      <c r="F45" s="121"/>
      <c r="H45" s="153" t="s">
        <v>215</v>
      </c>
      <c r="I45" s="121"/>
      <c r="J45" s="121"/>
    </row>
    <row r="46" spans="2:10" x14ac:dyDescent="0.3">
      <c r="B46" s="152" t="s">
        <v>209</v>
      </c>
      <c r="C46" s="121"/>
      <c r="D46" s="121"/>
      <c r="E46" s="121"/>
      <c r="F46" s="121"/>
      <c r="H46" s="154" t="s">
        <v>216</v>
      </c>
      <c r="I46" s="121"/>
      <c r="J46" s="121"/>
    </row>
    <row r="47" spans="2:10" x14ac:dyDescent="0.3">
      <c r="B47" s="152" t="s">
        <v>210</v>
      </c>
      <c r="C47" s="121"/>
      <c r="D47" s="121"/>
      <c r="E47" s="121"/>
      <c r="F47" s="121"/>
      <c r="H47" s="154" t="s">
        <v>217</v>
      </c>
      <c r="I47" s="121"/>
      <c r="J47" s="121"/>
    </row>
    <row r="48" spans="2:10" x14ac:dyDescent="0.3">
      <c r="B48" s="152" t="s">
        <v>211</v>
      </c>
      <c r="C48" s="121"/>
      <c r="D48" s="121"/>
      <c r="E48" s="121"/>
      <c r="F48" s="121"/>
      <c r="H48" s="154" t="s">
        <v>218</v>
      </c>
      <c r="I48" s="121"/>
      <c r="J48" s="121"/>
    </row>
    <row r="49" spans="2:6" x14ac:dyDescent="0.3">
      <c r="B49" s="152" t="s">
        <v>212</v>
      </c>
      <c r="C49" s="152"/>
      <c r="D49" s="152"/>
      <c r="E49" s="152"/>
      <c r="F49" s="152"/>
    </row>
    <row r="50" spans="2:6" x14ac:dyDescent="0.3">
      <c r="B50" s="152" t="s">
        <v>213</v>
      </c>
      <c r="C50" s="152"/>
      <c r="D50" s="152"/>
      <c r="E50" s="152"/>
      <c r="F50" s="152"/>
    </row>
    <row r="51" spans="2:6" x14ac:dyDescent="0.3">
      <c r="B51" s="152" t="s">
        <v>214</v>
      </c>
      <c r="C51" s="152"/>
      <c r="D51" s="152"/>
      <c r="E51" s="152"/>
      <c r="F51" s="152"/>
    </row>
  </sheetData>
  <mergeCells count="13">
    <mergeCell ref="B49:F49"/>
    <mergeCell ref="B50:F50"/>
    <mergeCell ref="B51:F51"/>
    <mergeCell ref="H45:J45"/>
    <mergeCell ref="H46:J46"/>
    <mergeCell ref="H47:J47"/>
    <mergeCell ref="H48:J48"/>
    <mergeCell ref="B48:F48"/>
    <mergeCell ref="B2:L2"/>
    <mergeCell ref="B27:J27"/>
    <mergeCell ref="B45:F45"/>
    <mergeCell ref="B46:F46"/>
    <mergeCell ref="B47:F47"/>
  </mergeCells>
  <conditionalFormatting sqref="H30:H42">
    <cfRule type="cellIs" dxfId="3" priority="1" operator="lessThan">
      <formula>0</formula>
    </cfRule>
  </conditionalFormatting>
  <conditionalFormatting sqref="H30:H42">
    <cfRule type="cellIs" dxfId="2" priority="2" operator="greaterThan">
      <formula>0</formula>
    </cfRule>
  </conditionalFormatting>
  <conditionalFormatting sqref="I30:I42">
    <cfRule type="cellIs" dxfId="1" priority="3" operator="lessThan">
      <formula>0</formula>
    </cfRule>
  </conditionalFormatting>
  <conditionalFormatting sqref="I30:I42">
    <cfRule type="cellIs" dxfId="0" priority="4" operator="greaterThan">
      <formula>0</formula>
    </cfRule>
  </conditionalFormatting>
  <dataValidations count="3">
    <dataValidation type="list" allowBlank="1" showInputMessage="1" showErrorMessage="1" sqref="C5:C24" xr:uid="{105962D8-B3FA-4D3F-89B3-0498D33F4DE2}">
      <formula1>"Chainlink (LINK),Aave (AAVE),Avalanche (AVAX),Near Protocol (NEAR),Solana (SOL),Binance Coin (BNB),Render (RNDR),Injective (INJ),Celestia (TIA),The Graph (GRT),Sei Network (SEI)"</formula1>
    </dataValidation>
    <dataValidation type="list" allowBlank="1" showInputMessage="1" showErrorMessage="1" sqref="D5:D24" xr:uid="{7F1DE164-9984-482C-BEFB-BAA7667E028A}">
      <formula1>"🟢 COMPRA,🔴 VENDA"</formula1>
    </dataValidation>
    <dataValidation type="list" allowBlank="1" showInputMessage="1" showErrorMessage="1" sqref="L5:L24" xr:uid="{FCB10C3E-64F0-4471-BE85-CA96CA4D3160}">
      <formula1>"✅ ATIVO,🔄 PARCIAL,❌ VENDIDO,⏸️ HOLD"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Preços Crypto</vt:lpstr>
      <vt:lpstr>Small Caps</vt:lpstr>
      <vt:lpstr>Análise DCA</vt:lpstr>
      <vt:lpstr>Análise Cryptos</vt:lpstr>
      <vt:lpstr>Carteira</vt:lpstr>
      <vt:lpstr>Histórico Compras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macario</dc:creator>
  <cp:lastModifiedBy>renato macario</cp:lastModifiedBy>
  <cp:lastPrinted>2026-04-10T19:13:51Z</cp:lastPrinted>
  <dcterms:created xsi:type="dcterms:W3CDTF">2026-04-10T13:21:31Z</dcterms:created>
  <dcterms:modified xsi:type="dcterms:W3CDTF">2026-05-13T10:23:25Z</dcterms:modified>
</cp:coreProperties>
</file>