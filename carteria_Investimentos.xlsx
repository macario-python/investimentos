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EstaPastaDeTrabalho" defaultThemeVersion="202300"/>
  <mc:AlternateContent xmlns:mc="http://schemas.openxmlformats.org/markup-compatibility/2006">
    <mc:Choice Requires="x15">
      <x15ac:absPath xmlns:x15ac="http://schemas.microsoft.com/office/spreadsheetml/2010/11/ac" url="C:\Users\renat\Desktop\INVESTIMENTOS\"/>
    </mc:Choice>
  </mc:AlternateContent>
  <xr:revisionPtr revIDLastSave="0" documentId="13_ncr:1_{C1880E44-0065-4690-9A38-47EBB152F3F9}" xr6:coauthVersionLast="47" xr6:coauthVersionMax="47" xr10:uidLastSave="{00000000-0000-0000-0000-000000000000}"/>
  <bookViews>
    <workbookView xWindow="-108" yWindow="-108" windowWidth="23256" windowHeight="12456" activeTab="5" xr2:uid="{43A6430E-8A0C-466B-B216-32F7ECBCC76E}"/>
  </bookViews>
  <sheets>
    <sheet name="MINHA CARTEIRA" sheetId="7" r:id="rId1"/>
    <sheet name="CARTEIRA RENATO" sheetId="8" r:id="rId2"/>
    <sheet name="DIVIDENDOS" sheetId="10" r:id="rId3"/>
    <sheet name="B3" sheetId="1" r:id="rId4"/>
    <sheet name="USD" sheetId="6" r:id="rId5"/>
    <sheet name="CAMBIO" sheetId="2" r:id="rId6"/>
    <sheet name="RESUMO"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 i="10" l="1"/>
  <c r="H52" i="10"/>
  <c r="H53" i="10"/>
  <c r="H54" i="10"/>
  <c r="H55" i="10"/>
  <c r="G56" i="10"/>
  <c r="H56" i="10" s="1"/>
  <c r="C57" i="10"/>
  <c r="D57" i="10"/>
  <c r="G57" i="10"/>
  <c r="H57" i="10"/>
  <c r="C58" i="10"/>
  <c r="D58" i="10"/>
  <c r="G58" i="10"/>
  <c r="H58" i="10" s="1"/>
  <c r="G59" i="10"/>
  <c r="H59" i="10" s="1"/>
  <c r="G60" i="10"/>
  <c r="C61" i="10"/>
  <c r="D61" i="10"/>
  <c r="G61" i="10"/>
  <c r="H61" i="10" s="1"/>
  <c r="D27" i="10"/>
  <c r="C27" i="10"/>
  <c r="D24" i="10"/>
  <c r="C24" i="10"/>
  <c r="D23" i="10"/>
  <c r="C23" i="10"/>
  <c r="H27" i="10"/>
  <c r="G27" i="10"/>
  <c r="G26" i="10"/>
  <c r="H25" i="10"/>
  <c r="G25" i="10"/>
  <c r="H24" i="10"/>
  <c r="G24" i="10"/>
  <c r="H23" i="10"/>
  <c r="G23" i="10"/>
  <c r="G22" i="10"/>
  <c r="H22" i="10" s="1"/>
  <c r="H21" i="10"/>
  <c r="H20" i="10"/>
  <c r="H19" i="10"/>
  <c r="H18" i="10"/>
  <c r="H17" i="10"/>
  <c r="H16" i="10"/>
  <c r="H15" i="10"/>
  <c r="H14" i="10"/>
  <c r="H13" i="10"/>
  <c r="H12" i="10"/>
  <c r="H11" i="10"/>
  <c r="H10" i="10"/>
  <c r="H9" i="10"/>
  <c r="H7" i="10"/>
  <c r="H6" i="10"/>
  <c r="B3" i="10"/>
  <c r="I6" i="10" s="1"/>
  <c r="J6" i="10" s="1"/>
  <c r="I27" i="8"/>
  <c r="I7" i="8"/>
  <c r="C4" i="9"/>
  <c r="C3" i="9"/>
  <c r="B37" i="8"/>
  <c r="B5" i="9" s="1"/>
  <c r="B27" i="8"/>
  <c r="B4" i="9" s="1"/>
  <c r="I36" i="8"/>
  <c r="D36" i="8" a="1"/>
  <c r="D36" i="8" s="1"/>
  <c r="J36" i="8" s="1"/>
  <c r="C36" i="8" a="1"/>
  <c r="C36" i="8" s="1"/>
  <c r="I35" i="8"/>
  <c r="D35" i="8" a="1"/>
  <c r="D35" i="8" s="1"/>
  <c r="J35" i="8" s="1"/>
  <c r="C35" i="8" a="1"/>
  <c r="C35" i="8" s="1"/>
  <c r="I34" i="8"/>
  <c r="D34" i="8" a="1"/>
  <c r="D34" i="8" s="1"/>
  <c r="J34" i="8" s="1"/>
  <c r="C34" i="8" a="1"/>
  <c r="C34" i="8" s="1"/>
  <c r="I33" i="8"/>
  <c r="D33" i="8" a="1"/>
  <c r="D33" i="8" s="1"/>
  <c r="G33" i="8" s="1"/>
  <c r="C33" i="8" a="1"/>
  <c r="C33" i="8" s="1"/>
  <c r="I32" i="8"/>
  <c r="D32" i="8" a="1"/>
  <c r="D32" i="8" s="1"/>
  <c r="G32" i="8" s="1"/>
  <c r="C32" i="8" a="1"/>
  <c r="C32" i="8" s="1"/>
  <c r="I31" i="8"/>
  <c r="D31" i="8" a="1"/>
  <c r="D31" i="8" s="1"/>
  <c r="C31" i="8" a="1"/>
  <c r="C31" i="8" s="1"/>
  <c r="I26" i="8"/>
  <c r="D26" i="8" a="1"/>
  <c r="D26" i="8" s="1"/>
  <c r="C26" i="8" a="1"/>
  <c r="C26" i="8" s="1"/>
  <c r="I25" i="8"/>
  <c r="D25" i="8" a="1"/>
  <c r="D25" i="8" s="1"/>
  <c r="G25" i="8" s="1"/>
  <c r="C25" i="8" a="1"/>
  <c r="C25" i="8" s="1"/>
  <c r="D24" i="8" a="1"/>
  <c r="D24" i="8" s="1"/>
  <c r="D23" i="8" a="1"/>
  <c r="D23" i="8" s="1"/>
  <c r="D22" i="8" a="1"/>
  <c r="D22" i="8" s="1"/>
  <c r="D21" i="8" a="1"/>
  <c r="D21" i="8" s="1"/>
  <c r="D20" i="8" a="1"/>
  <c r="D20" i="8" s="1"/>
  <c r="C24" i="8" a="1"/>
  <c r="C24" i="8" s="1"/>
  <c r="C23" i="8" a="1"/>
  <c r="C23" i="8" s="1"/>
  <c r="C22" i="8" a="1"/>
  <c r="C22" i="8" s="1"/>
  <c r="C21" i="8" a="1"/>
  <c r="C21" i="8" s="1"/>
  <c r="C20" i="8" a="1"/>
  <c r="C20" i="8" s="1"/>
  <c r="I24" i="8"/>
  <c r="I23" i="8"/>
  <c r="I22" i="8"/>
  <c r="I21" i="8"/>
  <c r="I20" i="8"/>
  <c r="B15" i="8"/>
  <c r="B3" i="9" s="1"/>
  <c r="B7" i="8"/>
  <c r="B2" i="9" s="1"/>
  <c r="D14" i="8" a="1"/>
  <c r="D14" i="8" s="1"/>
  <c r="G14" i="8" s="1"/>
  <c r="C14" i="8" a="1"/>
  <c r="C14" i="8" s="1"/>
  <c r="I3" i="8"/>
  <c r="I4" i="8"/>
  <c r="C2" i="9" s="1"/>
  <c r="I5" i="8"/>
  <c r="I6" i="8"/>
  <c r="I2" i="8"/>
  <c r="D2" i="8" a="1"/>
  <c r="D2" i="8" s="1"/>
  <c r="G2" i="8" s="1"/>
  <c r="D3" i="8" a="1"/>
  <c r="D3" i="8" s="1"/>
  <c r="G3" i="8" s="1"/>
  <c r="D4" i="8" a="1"/>
  <c r="D4" i="8" s="1"/>
  <c r="G4" i="8" s="1"/>
  <c r="D5" i="8" a="1"/>
  <c r="D5" i="8" s="1"/>
  <c r="G5" i="8" s="1"/>
  <c r="D6" i="8" a="1"/>
  <c r="D6" i="8" s="1"/>
  <c r="G6" i="8" s="1"/>
  <c r="C2" i="8" a="1"/>
  <c r="C2" i="8" s="1"/>
  <c r="C3" i="8" a="1"/>
  <c r="C3" i="8" s="1"/>
  <c r="C4" i="8" a="1"/>
  <c r="C4" i="8" s="1"/>
  <c r="C5" i="8" a="1"/>
  <c r="C5" i="8" s="1"/>
  <c r="C6" i="8" a="1"/>
  <c r="C6" i="8" s="1"/>
  <c r="B13" i="1" a="1"/>
  <c r="B13" i="1" s="1"/>
  <c r="C13" i="1" a="1"/>
  <c r="C13" i="1" s="1"/>
  <c r="E13" i="1" s="1"/>
  <c r="A6" i="7"/>
  <c r="H2" i="7"/>
  <c r="H3" i="7"/>
  <c r="H4" i="7"/>
  <c r="H5" i="7"/>
  <c r="D5" i="7" a="1"/>
  <c r="D5" i="7" s="1"/>
  <c r="F5" i="7" s="1"/>
  <c r="C5" i="7" a="1"/>
  <c r="C5" i="7" s="1"/>
  <c r="D4" i="7" a="1"/>
  <c r="D4" i="7" s="1"/>
  <c r="F4" i="7" s="1"/>
  <c r="C4" i="7" a="1"/>
  <c r="C4" i="7" s="1"/>
  <c r="D3" i="7" a="1"/>
  <c r="D3" i="7" s="1"/>
  <c r="F3" i="7" s="1"/>
  <c r="C3" i="7" a="1"/>
  <c r="C3" i="7" s="1"/>
  <c r="D2" i="7" a="1"/>
  <c r="D2" i="7" s="1"/>
  <c r="F2" i="7" s="1"/>
  <c r="C2" i="7" a="1"/>
  <c r="C2" i="7" s="1"/>
  <c r="C12" i="6" a="1"/>
  <c r="C12" i="6" s="1"/>
  <c r="E12" i="6" s="1"/>
  <c r="B12" i="6" a="1"/>
  <c r="B12" i="6" s="1"/>
  <c r="C11" i="6" a="1"/>
  <c r="C11" i="6" s="1"/>
  <c r="E11" i="6" s="1"/>
  <c r="B11" i="6"/>
  <c r="B11" i="6" a="1"/>
  <c r="C10" i="6" a="1"/>
  <c r="C10" i="6" s="1"/>
  <c r="E10" i="6" s="1"/>
  <c r="B10" i="6" a="1"/>
  <c r="B10" i="6" s="1"/>
  <c r="C9" i="6" a="1"/>
  <c r="C9" i="6" s="1"/>
  <c r="E9" i="6" s="1"/>
  <c r="B9" i="6" a="1"/>
  <c r="B9" i="6" s="1"/>
  <c r="C8" i="6" a="1"/>
  <c r="C8" i="6" s="1"/>
  <c r="E8" i="6" s="1"/>
  <c r="B8" i="6" a="1"/>
  <c r="B8" i="6" s="1"/>
  <c r="C7" i="6" a="1"/>
  <c r="C7" i="6" s="1"/>
  <c r="E7" i="6" s="1"/>
  <c r="B7" i="6"/>
  <c r="B7" i="6" a="1"/>
  <c r="C6" i="6"/>
  <c r="E6" i="6" s="1"/>
  <c r="C6" i="6" a="1"/>
  <c r="B6" i="6" a="1"/>
  <c r="B6" i="6" s="1"/>
  <c r="C5" i="6" a="1"/>
  <c r="C5" i="6" s="1"/>
  <c r="E5" i="6" s="1"/>
  <c r="B5" i="6" a="1"/>
  <c r="B5" i="6" s="1"/>
  <c r="C4" i="6" a="1"/>
  <c r="C4" i="6" s="1"/>
  <c r="E4" i="6" s="1"/>
  <c r="B4" i="6" a="1"/>
  <c r="B4" i="6" s="1"/>
  <c r="C3" i="6" a="1"/>
  <c r="C3" i="6" s="1"/>
  <c r="E3" i="6" s="1"/>
  <c r="B3" i="6" a="1"/>
  <c r="B3" i="6" s="1"/>
  <c r="C2" i="6" a="1"/>
  <c r="C2" i="6" s="1"/>
  <c r="E2" i="6" s="1"/>
  <c r="B2" i="6" a="1"/>
  <c r="B2" i="6" s="1"/>
  <c r="B12" i="1" a="1"/>
  <c r="B12" i="1" s="1"/>
  <c r="C12" i="1" a="1"/>
  <c r="C12" i="1" s="1"/>
  <c r="E12" i="1" s="1"/>
  <c r="B11" i="1" a="1"/>
  <c r="B11" i="1" s="1"/>
  <c r="C11" i="1" a="1"/>
  <c r="C11" i="1" s="1"/>
  <c r="E11" i="1" s="1"/>
  <c r="B10" i="1" a="1"/>
  <c r="B10" i="1" s="1"/>
  <c r="C10" i="1" a="1"/>
  <c r="C10" i="1" s="1"/>
  <c r="E10" i="1" s="1"/>
  <c r="B9" i="1" a="1"/>
  <c r="B9" i="1" s="1"/>
  <c r="C9" i="1" a="1"/>
  <c r="C9" i="1" s="1"/>
  <c r="E9" i="1" s="1"/>
  <c r="B8" i="1" a="1"/>
  <c r="B8" i="1" s="1"/>
  <c r="C8" i="1" a="1"/>
  <c r="C8" i="1" s="1"/>
  <c r="E8" i="1" s="1"/>
  <c r="B7" i="1" a="1"/>
  <c r="B7" i="1" s="1"/>
  <c r="C7" i="1" a="1"/>
  <c r="C7" i="1" s="1"/>
  <c r="E7" i="1" s="1"/>
  <c r="B6" i="1" a="1"/>
  <c r="B6" i="1" s="1"/>
  <c r="C6" i="1" a="1"/>
  <c r="C6" i="1" s="1"/>
  <c r="E6" i="1" s="1"/>
  <c r="B5" i="2" a="1"/>
  <c r="B5" i="2" s="1"/>
  <c r="C5" i="2" a="1"/>
  <c r="C5" i="2" s="1"/>
  <c r="B4" i="2" a="1"/>
  <c r="B4" i="2" s="1"/>
  <c r="C4" i="2" a="1"/>
  <c r="C4" i="2" s="1"/>
  <c r="C3" i="2" a="1"/>
  <c r="C3" i="2" s="1"/>
  <c r="C2" i="2" a="1"/>
  <c r="C2" i="2" s="1"/>
  <c r="B3" i="2" a="1"/>
  <c r="B3" i="2" s="1"/>
  <c r="B2" i="2" a="1"/>
  <c r="B2" i="2" s="1"/>
  <c r="C2" i="1" a="1"/>
  <c r="C2" i="1" s="1"/>
  <c r="E2" i="1" s="1"/>
  <c r="B2" i="1" a="1"/>
  <c r="B2" i="1" s="1"/>
  <c r="C5" i="1" a="1"/>
  <c r="C5" i="1" s="1"/>
  <c r="E5" i="1" s="1"/>
  <c r="B5" i="1" a="1"/>
  <c r="B5" i="1" s="1"/>
  <c r="C4" i="1" a="1"/>
  <c r="C4" i="1" s="1"/>
  <c r="E4" i="1" s="1"/>
  <c r="B4" i="1" a="1"/>
  <c r="B4" i="1" s="1"/>
  <c r="C3" i="1" a="1"/>
  <c r="C3" i="1" s="1"/>
  <c r="E3" i="1" s="1"/>
  <c r="B3" i="1" a="1"/>
  <c r="B3" i="1" s="1"/>
  <c r="I58" i="10" l="1"/>
  <c r="J58" i="10" s="1"/>
  <c r="I61" i="10"/>
  <c r="J61" i="10" s="1"/>
  <c r="I57" i="10"/>
  <c r="J57" i="10" s="1"/>
  <c r="I59" i="10"/>
  <c r="J59" i="10" s="1"/>
  <c r="I56" i="10"/>
  <c r="I27" i="10"/>
  <c r="J27" i="10" s="1"/>
  <c r="I24" i="10"/>
  <c r="J24" i="10" s="1"/>
  <c r="I23" i="10"/>
  <c r="J23" i="10" s="1"/>
  <c r="I25" i="10"/>
  <c r="J25" i="10" s="1"/>
  <c r="I22" i="10"/>
  <c r="I16" i="10"/>
  <c r="J16" i="10" s="1"/>
  <c r="I15" i="10"/>
  <c r="J15" i="10" s="1"/>
  <c r="I14" i="10"/>
  <c r="J14" i="10" s="1"/>
  <c r="I13" i="10"/>
  <c r="J13" i="10" s="1"/>
  <c r="I12" i="10"/>
  <c r="J12" i="10" s="1"/>
  <c r="I11" i="10"/>
  <c r="J11" i="10" s="1"/>
  <c r="I10" i="10"/>
  <c r="J10" i="10" s="1"/>
  <c r="I9" i="10"/>
  <c r="J9" i="10" s="1"/>
  <c r="I7" i="10"/>
  <c r="K36" i="8"/>
  <c r="K35" i="8"/>
  <c r="K34" i="8"/>
  <c r="J33" i="8"/>
  <c r="K33" i="8" s="1"/>
  <c r="I37" i="8"/>
  <c r="C5" i="9" s="1"/>
  <c r="C6" i="9" s="1"/>
  <c r="D37" i="8"/>
  <c r="J32" i="8"/>
  <c r="K32" i="8" s="1"/>
  <c r="G31" i="8"/>
  <c r="J31" i="8"/>
  <c r="K31" i="8" s="1"/>
  <c r="E31" i="8"/>
  <c r="E36" i="8"/>
  <c r="E35" i="8"/>
  <c r="G36" i="8"/>
  <c r="E34" i="8"/>
  <c r="G35" i="8"/>
  <c r="E33" i="8"/>
  <c r="G34" i="8"/>
  <c r="E32" i="8"/>
  <c r="E26" i="8"/>
  <c r="B6" i="9"/>
  <c r="G26" i="8"/>
  <c r="J26" i="8"/>
  <c r="K26" i="8" s="1"/>
  <c r="J25" i="8"/>
  <c r="D27" i="8"/>
  <c r="E25" i="8"/>
  <c r="G24" i="8"/>
  <c r="J24" i="8"/>
  <c r="K24" i="8" s="1"/>
  <c r="G23" i="8"/>
  <c r="J23" i="8"/>
  <c r="K23" i="8" s="1"/>
  <c r="G22" i="8"/>
  <c r="J22" i="8"/>
  <c r="K22" i="8" s="1"/>
  <c r="G21" i="8"/>
  <c r="J21" i="8"/>
  <c r="K21" i="8" s="1"/>
  <c r="E21" i="8"/>
  <c r="J20" i="8"/>
  <c r="G20" i="8"/>
  <c r="E14" i="8"/>
  <c r="E3" i="8"/>
  <c r="E20" i="8"/>
  <c r="E24" i="8"/>
  <c r="E2" i="8"/>
  <c r="E23" i="8"/>
  <c r="E6" i="8"/>
  <c r="E22" i="8"/>
  <c r="E5" i="8"/>
  <c r="E4" i="8"/>
  <c r="G15" i="8"/>
  <c r="G7" i="8"/>
  <c r="J14" i="8"/>
  <c r="D3" i="9" s="1"/>
  <c r="J6" i="8"/>
  <c r="K6" i="8" s="1"/>
  <c r="J5" i="8"/>
  <c r="K5" i="8" s="1"/>
  <c r="J2" i="8"/>
  <c r="J4" i="8"/>
  <c r="K4" i="8" s="1"/>
  <c r="J3" i="8"/>
  <c r="K3" i="8" s="1"/>
  <c r="H6" i="7"/>
  <c r="F6" i="7"/>
  <c r="I4" i="7"/>
  <c r="J4" i="7" s="1"/>
  <c r="I3" i="7"/>
  <c r="J3" i="7" s="1"/>
  <c r="I2" i="7"/>
  <c r="I5" i="7"/>
  <c r="J5" i="7" s="1"/>
  <c r="A37" i="10" l="1" a="1"/>
  <c r="A37" i="10" s="1"/>
  <c r="J3" i="10"/>
  <c r="E71" i="10" a="1"/>
  <c r="E71" i="10" s="1"/>
  <c r="C71" i="10" a="1"/>
  <c r="C71" i="10" s="1"/>
  <c r="D71" i="10" a="1"/>
  <c r="D71" i="10" s="1"/>
  <c r="A71" i="10" a="1"/>
  <c r="A71" i="10" s="1"/>
  <c r="B71" i="10" a="1"/>
  <c r="B71" i="10" s="1"/>
  <c r="J56" i="10"/>
  <c r="B65" i="10"/>
  <c r="B66" i="10" s="1"/>
  <c r="B64" i="10"/>
  <c r="F3" i="10"/>
  <c r="H3" i="10"/>
  <c r="J22" i="10"/>
  <c r="B31" i="10"/>
  <c r="B32" i="10" s="1"/>
  <c r="J7" i="10"/>
  <c r="B30" i="10"/>
  <c r="J7" i="8"/>
  <c r="J27" i="8"/>
  <c r="D4" i="9"/>
  <c r="K20" i="8"/>
  <c r="G37" i="8"/>
  <c r="E37" i="8"/>
  <c r="K37" i="8"/>
  <c r="E5" i="9" s="1"/>
  <c r="F5" i="9" s="1"/>
  <c r="J37" i="8"/>
  <c r="D5" i="9" s="1"/>
  <c r="K2" i="8"/>
  <c r="E2" i="9" s="1"/>
  <c r="D2" i="9"/>
  <c r="K14" i="8"/>
  <c r="E3" i="9" s="1"/>
  <c r="E27" i="8"/>
  <c r="G27" i="8"/>
  <c r="K25" i="8"/>
  <c r="J2" i="7"/>
  <c r="J6" i="7" s="1"/>
  <c r="I6" i="7"/>
  <c r="B67" i="10" l="1"/>
  <c r="B33" i="10"/>
  <c r="D6" i="9"/>
  <c r="K27" i="8"/>
  <c r="F4" i="9" s="1"/>
  <c r="F2" i="9"/>
  <c r="K15" i="8"/>
  <c r="F3" i="9" s="1"/>
  <c r="K7" i="8"/>
  <c r="E4" i="9" l="1"/>
  <c r="E6" i="9" s="1"/>
  <c r="F6"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renato macario</author>
  </authors>
  <commentList>
    <comment ref="B20" authorId="0" shapeId="0" xr:uid="{FB21CFCD-A134-473A-8701-552DA9972DA2}">
      <text>
        <r>
          <rPr>
            <b/>
            <sz val="9"/>
            <color indexed="81"/>
            <rFont val="Segoe UI"/>
            <family val="2"/>
          </rPr>
          <t>renato macario:</t>
        </r>
        <r>
          <rPr>
            <sz val="9"/>
            <color indexed="81"/>
            <rFont val="Segoe UI"/>
            <family val="2"/>
          </rPr>
          <t xml:space="preserve">
Source: Multiple analyst reports, top Asian stock pick for 2026</t>
        </r>
      </text>
    </comment>
    <comment ref="D20" authorId="0" shapeId="0" xr:uid="{018E67F1-AFA1-40BE-AFC4-0D4522E787ED}">
      <text>
        <r>
          <rPr>
            <b/>
            <sz val="9"/>
            <color indexed="81"/>
            <rFont val="Segoe UI"/>
            <family val="2"/>
          </rPr>
          <t>Source: Yahoo Finance, https://finance.yahoo.com/quote/TSM/history/ (17/abr/2026)</t>
        </r>
      </text>
    </comment>
    <comment ref="D21" authorId="0" shapeId="0" xr:uid="{54B81A8B-1F93-47A5-8946-CEDA27D1E9A0}">
      <text>
        <r>
          <rPr>
            <b/>
            <sz val="9"/>
            <color indexed="81"/>
            <rFont val="Segoe UI"/>
            <family val="2"/>
          </rPr>
          <t>Source: Investing.com, https://www.investing.com/equities/alibaba-historical-data (17/abr/2026)</t>
        </r>
      </text>
    </comment>
    <comment ref="D22" authorId="0" shapeId="0" xr:uid="{2C735680-0035-4C34-A66D-25DCFFB9E490}">
      <text>
        <r>
          <rPr>
            <b/>
            <sz val="9"/>
            <color indexed="81"/>
            <rFont val="Segoe UI"/>
            <family val="2"/>
          </rPr>
          <t>Source: Investing.com, https://www.investing.com/equities/tencent-holdings-pk (17/abr/2026)</t>
        </r>
      </text>
    </comment>
    <comment ref="D23" authorId="0" shapeId="0" xr:uid="{AF0540CB-2DBD-4B08-8A9D-DFD03657A9EA}">
      <text>
        <r>
          <rPr>
            <b/>
            <sz val="9"/>
            <color indexed="81"/>
            <rFont val="Segoe UI"/>
            <family val="2"/>
          </rPr>
          <t>Source: Investing.com, https://www.investing.com/equities/pinduoduo-historical-data (17/abr/2026)</t>
        </r>
      </text>
    </comment>
    <comment ref="D24" authorId="0" shapeId="0" xr:uid="{6A7641EC-B575-43D7-A11E-BE1943ADE657}">
      <text>
        <r>
          <rPr>
            <b/>
            <sz val="9"/>
            <color indexed="81"/>
            <rFont val="Segoe UI"/>
            <family val="2"/>
          </rPr>
          <t>Source: Investing.com, https://www.investing.com/equities/sony (17/abr/2026)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renato macario</author>
  </authors>
  <commentList>
    <comment ref="K6" authorId="0" shapeId="0" xr:uid="{D196CFC1-2086-4AED-BA0F-836DDA5007C6}">
      <text>
        <r>
          <rPr>
            <b/>
            <sz val="9"/>
            <color indexed="81"/>
            <rFont val="Segoe UI"/>
            <charset val="1"/>
          </rPr>
          <t>renato macario:</t>
        </r>
        <r>
          <rPr>
            <sz val="9"/>
            <color indexed="81"/>
            <rFont val="Segoe UI"/>
            <charset val="1"/>
          </rPr>
          <t xml:space="preserve">
Source: BPMoney/InfoMoney - https://bpmoney.com.br/mercado/petrobras-petr4-vai-pagar-r-412-bilhoes-em-dividendos-descubra-quando-receber/</t>
        </r>
      </text>
    </comment>
    <comment ref="K7" authorId="0" shapeId="0" xr:uid="{97C20D78-0F00-4224-9D72-F056B3BA3E19}">
      <text>
        <r>
          <rPr>
            <b/>
            <sz val="9"/>
            <color indexed="81"/>
            <rFont val="Segoe UI"/>
            <charset val="1"/>
          </rPr>
          <t>renato macario:</t>
        </r>
        <r>
          <rPr>
            <sz val="9"/>
            <color indexed="81"/>
            <rFont val="Segoe UI"/>
            <charset val="1"/>
          </rPr>
          <t xml:space="preserve">
Source: InfoMoney - https://www.infomoney.com.br/mercados/petrobras-petr3-petr4-pagamento-dividendo-4t25/</t>
        </r>
      </text>
    </comment>
    <comment ref="K8" authorId="0" shapeId="0" xr:uid="{1BD91976-FA01-47D1-9AEB-373CDB5BA6F5}">
      <text>
        <r>
          <rPr>
            <b/>
            <sz val="9"/>
            <color indexed="81"/>
            <rFont val="Segoe UI"/>
            <charset val="1"/>
          </rPr>
          <t>renato macario:</t>
        </r>
        <r>
          <rPr>
            <sz val="9"/>
            <color indexed="81"/>
            <rFont val="Segoe UI"/>
            <charset val="1"/>
          </rPr>
          <t xml:space="preserve">
Source: A Revista/StatusInvest - https://arevista.com.br/dividendos/quais-os-pagamentos-esperados-da-vale-vale3-em-2026-apos-a-alta-das-acoes/</t>
        </r>
      </text>
    </comment>
    <comment ref="K9" authorId="0" shapeId="0" xr:uid="{4B0FE2E4-1A7E-4561-8FE0-C257767772D0}">
      <text>
        <r>
          <rPr>
            <b/>
            <sz val="9"/>
            <color indexed="81"/>
            <rFont val="Segoe UI"/>
            <charset val="1"/>
          </rPr>
          <t>renato macario:</t>
        </r>
        <r>
          <rPr>
            <sz val="9"/>
            <color indexed="81"/>
            <rFont val="Segoe UI"/>
            <charset val="1"/>
          </rPr>
          <t xml:space="preserve">
Source: Investidor10 - https://investidor10.com.br/noticias/dividendos-do-banco-do-brasil-bbas3-saiba-quanto-e-quando-virao-em-2026-118072/</t>
        </r>
      </text>
    </comment>
    <comment ref="K10" authorId="0" shapeId="0" xr:uid="{5A835B67-436B-4281-B755-1BFC89B1D6A1}">
      <text>
        <r>
          <rPr>
            <b/>
            <sz val="9"/>
            <color indexed="81"/>
            <rFont val="Segoe UI"/>
            <charset val="1"/>
          </rPr>
          <t>renato macario:</t>
        </r>
        <r>
          <rPr>
            <sz val="9"/>
            <color indexed="81"/>
            <rFont val="Segoe UI"/>
            <charset val="1"/>
          </rPr>
          <t xml:space="preserve">
Source: Investidor10</t>
        </r>
      </text>
    </comment>
    <comment ref="K11" authorId="0" shapeId="0" xr:uid="{0E05AFE9-1990-4B36-93E7-7A001F101489}">
      <text>
        <r>
          <rPr>
            <b/>
            <sz val="9"/>
            <color indexed="81"/>
            <rFont val="Segoe UI"/>
            <charset val="1"/>
          </rPr>
          <t>renato macario:</t>
        </r>
        <r>
          <rPr>
            <sz val="9"/>
            <color indexed="81"/>
            <rFont val="Segoe UI"/>
            <charset val="1"/>
          </rPr>
          <t xml:space="preserve">
Source: Investidor10</t>
        </r>
      </text>
    </comment>
    <comment ref="K12" authorId="0" shapeId="0" xr:uid="{A93B269A-5317-4CBB-9643-DCCA2E8B3C50}">
      <text>
        <r>
          <rPr>
            <b/>
            <sz val="9"/>
            <color indexed="81"/>
            <rFont val="Segoe UI"/>
            <charset val="1"/>
          </rPr>
          <t>renato macario:</t>
        </r>
        <r>
          <rPr>
            <sz val="9"/>
            <color indexed="81"/>
            <rFont val="Segoe UI"/>
            <charset val="1"/>
          </rPr>
          <t xml:space="preserve">
Source: Investidor10</t>
        </r>
      </text>
    </comment>
    <comment ref="K13" authorId="0" shapeId="0" xr:uid="{902A5116-6D56-41CA-B2FA-1037CCEE89D5}">
      <text>
        <r>
          <rPr>
            <b/>
            <sz val="9"/>
            <color indexed="81"/>
            <rFont val="Segoe UI"/>
            <charset val="1"/>
          </rPr>
          <t>renato macario:</t>
        </r>
        <r>
          <rPr>
            <sz val="9"/>
            <color indexed="81"/>
            <rFont val="Segoe UI"/>
            <charset val="1"/>
          </rPr>
          <t xml:space="preserve">
Source: MoneyTimes - https://www.moneytimes.com.br/ambev-abev3-aprova-distribuicao-de-dividendos-e-jcp-pagamentos-comecam-em-dezembro/</t>
        </r>
      </text>
    </comment>
    <comment ref="K14" authorId="0" shapeId="0" xr:uid="{A9170F49-DBF3-4DDF-B2F9-33BCD5D875A7}">
      <text>
        <r>
          <rPr>
            <b/>
            <sz val="9"/>
            <color indexed="81"/>
            <rFont val="Segoe UI"/>
            <charset val="1"/>
          </rPr>
          <t>renato macario:</t>
        </r>
        <r>
          <rPr>
            <sz val="9"/>
            <color indexed="81"/>
            <rFont val="Segoe UI"/>
            <charset val="1"/>
          </rPr>
          <t xml:space="preserve">
Source: FundsExplorer/StatusInvest - https://www.fundsexplorer.com.br/funds/cpts11</t>
        </r>
      </text>
    </comment>
    <comment ref="K15" authorId="0" shapeId="0" xr:uid="{7513EEA1-7101-4EF9-8EB3-FB677288C36B}">
      <text>
        <r>
          <rPr>
            <b/>
            <sz val="9"/>
            <color indexed="81"/>
            <rFont val="Segoe UI"/>
            <charset val="1"/>
          </rPr>
          <t>renato macario:</t>
        </r>
        <r>
          <rPr>
            <sz val="9"/>
            <color indexed="81"/>
            <rFont val="Segoe UI"/>
            <charset val="1"/>
          </rPr>
          <t xml:space="preserve">
Source: FundsExplorer</t>
        </r>
      </text>
    </comment>
    <comment ref="K16" authorId="0" shapeId="0" xr:uid="{5642DA64-6065-418F-BB6C-6F723E8556DF}">
      <text>
        <r>
          <rPr>
            <b/>
            <sz val="9"/>
            <color indexed="81"/>
            <rFont val="Segoe UI"/>
            <charset val="1"/>
          </rPr>
          <t>renato macario:</t>
        </r>
        <r>
          <rPr>
            <sz val="9"/>
            <color indexed="81"/>
            <rFont val="Segoe UI"/>
            <charset val="1"/>
          </rPr>
          <t xml:space="preserve">
Source: Cury RI - https://ri.cury.net/en/historico-de-proventos/</t>
        </r>
      </text>
    </comment>
    <comment ref="K17" authorId="0" shapeId="0" xr:uid="{C30B6FB2-ED49-4571-9AF3-7148C2CEE692}">
      <text>
        <r>
          <rPr>
            <b/>
            <sz val="9"/>
            <color indexed="81"/>
            <rFont val="Segoe UI"/>
            <charset val="1"/>
          </rPr>
          <t>renato macario:</t>
        </r>
        <r>
          <rPr>
            <sz val="9"/>
            <color indexed="81"/>
            <rFont val="Segoe UI"/>
            <charset val="1"/>
          </rPr>
          <t xml:space="preserve">
Source: Investidor10 - https://investidor10.com.br/acoes/dirr3/</t>
        </r>
      </text>
    </comment>
    <comment ref="K18" authorId="0" shapeId="0" xr:uid="{6011C344-8BC8-4F9E-91A4-946FB766FB10}">
      <text>
        <r>
          <rPr>
            <b/>
            <sz val="9"/>
            <color indexed="81"/>
            <rFont val="Segoe UI"/>
            <charset val="1"/>
          </rPr>
          <t>renato macario:</t>
        </r>
        <r>
          <rPr>
            <sz val="9"/>
            <color indexed="81"/>
            <rFont val="Segoe UI"/>
            <charset val="1"/>
          </rPr>
          <t xml:space="preserve">
Source: StatusInvest</t>
        </r>
      </text>
    </comment>
    <comment ref="K19" authorId="0" shapeId="0" xr:uid="{5DC5DDB5-689F-49E4-B3DE-B3D911EAE19B}">
      <text>
        <r>
          <rPr>
            <b/>
            <sz val="9"/>
            <color indexed="81"/>
            <rFont val="Segoe UI"/>
            <charset val="1"/>
          </rPr>
          <t>renato macario:</t>
        </r>
        <r>
          <rPr>
            <sz val="9"/>
            <color indexed="81"/>
            <rFont val="Segoe UI"/>
            <charset val="1"/>
          </rPr>
          <t xml:space="preserve">
Source: StatusInvest/Investing.com</t>
        </r>
      </text>
    </comment>
    <comment ref="K20" authorId="0" shapeId="0" xr:uid="{AA530DCF-6CE7-455A-A62D-F721C6BB568C}">
      <text>
        <r>
          <rPr>
            <b/>
            <sz val="9"/>
            <color indexed="81"/>
            <rFont val="Segoe UI"/>
            <charset val="1"/>
          </rPr>
          <t>renato macario:</t>
        </r>
        <r>
          <rPr>
            <sz val="9"/>
            <color indexed="81"/>
            <rFont val="Segoe UI"/>
            <charset val="1"/>
          </rPr>
          <t xml:space="preserve">
Source: StatusInvest</t>
        </r>
      </text>
    </comment>
    <comment ref="K21" authorId="0" shapeId="0" xr:uid="{63132DC1-795F-4FE8-B55A-BAE4270EC0F8}">
      <text>
        <r>
          <rPr>
            <b/>
            <sz val="9"/>
            <color indexed="81"/>
            <rFont val="Segoe UI"/>
            <charset val="1"/>
          </rPr>
          <t>renato macario:</t>
        </r>
        <r>
          <rPr>
            <sz val="9"/>
            <color indexed="81"/>
            <rFont val="Segoe UI"/>
            <charset val="1"/>
          </rPr>
          <t xml:space="preserve">
Source: Guia do Investidor</t>
        </r>
      </text>
    </comment>
    <comment ref="K22" authorId="0" shapeId="0" xr:uid="{7CEA1F6D-C660-440D-84CB-34C235C8DE79}">
      <text>
        <r>
          <rPr>
            <b/>
            <sz val="9"/>
            <color indexed="81"/>
            <rFont val="Segoe UI"/>
            <charset val="1"/>
          </rPr>
          <t>renato macario:</t>
        </r>
        <r>
          <rPr>
            <sz val="9"/>
            <color indexed="81"/>
            <rFont val="Segoe UI"/>
            <charset val="1"/>
          </rPr>
          <t xml:space="preserve">
Source: Realty Income IR (PR Newswire/SEC) - https://www.realtyincome.com/investors/press-releases/realty-income-announces-670th-consecutive-common-stock-monthly-dividend</t>
        </r>
      </text>
    </comment>
    <comment ref="K23" authorId="0" shapeId="0" xr:uid="{37FB72B7-AEB3-4B6A-812E-2D9EA9692A05}">
      <text>
        <r>
          <rPr>
            <b/>
            <sz val="9"/>
            <color indexed="81"/>
            <rFont val="Segoe UI"/>
            <charset val="1"/>
          </rPr>
          <t>renato macario:</t>
        </r>
        <r>
          <rPr>
            <sz val="9"/>
            <color indexed="81"/>
            <rFont val="Segoe UI"/>
            <charset val="1"/>
          </rPr>
          <t xml:space="preserve">
Source: SEC EDGAR 6-K TSMC - https://www.sec.gov/Archives/edgar/data/0001046179/000104617926000017/tsm-boardx20260210x6k.htm</t>
        </r>
      </text>
    </comment>
    <comment ref="K24" authorId="0" shapeId="0" xr:uid="{10FBD164-CCD0-44F0-90A3-A3A6B1C429C9}">
      <text>
        <r>
          <rPr>
            <b/>
            <sz val="9"/>
            <color indexed="81"/>
            <rFont val="Segoe UI"/>
            <charset val="1"/>
          </rPr>
          <t>renato macario:</t>
        </r>
        <r>
          <rPr>
            <sz val="9"/>
            <color indexed="81"/>
            <rFont val="Segoe UI"/>
            <charset val="1"/>
          </rPr>
          <t xml:space="preserve">
Source: DividendMax/StockEvents - https://www.dividendmax.com/united-states/nyse/retailers/alibaba-group-holding-ltd-adr/dividends</t>
        </r>
      </text>
    </comment>
    <comment ref="K25" authorId="0" shapeId="0" xr:uid="{92FC003E-1FBD-4687-9965-D3FBD847BE35}">
      <text>
        <r>
          <rPr>
            <b/>
            <sz val="9"/>
            <color indexed="81"/>
            <rFont val="Segoe UI"/>
            <charset val="1"/>
          </rPr>
          <t>renato macario:</t>
        </r>
        <r>
          <rPr>
            <sz val="9"/>
            <color indexed="81"/>
            <rFont val="Segoe UI"/>
            <charset val="1"/>
          </rPr>
          <t xml:space="preserve">
Source: StockEvents/TipRanks - https://stockevents.app/en/stock/TCEHY/dividends</t>
        </r>
      </text>
    </comment>
    <comment ref="K26" authorId="0" shapeId="0" xr:uid="{D13CCE89-F46E-4C95-8177-F68D27B7730F}">
      <text>
        <r>
          <rPr>
            <b/>
            <sz val="9"/>
            <color indexed="81"/>
            <rFont val="Segoe UI"/>
            <charset val="1"/>
          </rPr>
          <t>renato macario:</t>
        </r>
        <r>
          <rPr>
            <sz val="9"/>
            <color indexed="81"/>
            <rFont val="Segoe UI"/>
            <charset val="1"/>
          </rPr>
          <t xml:space="preserve">
Source: WallStreetZen - https://www.wallstreetzen.com/stocks/us/nyse/baba/dividends (confirma perfil growth/não paga)</t>
        </r>
      </text>
    </comment>
    <comment ref="K27" authorId="0" shapeId="0" xr:uid="{5B171D3B-9A46-4BF8-952B-63D20E316B00}">
      <text>
        <r>
          <rPr>
            <b/>
            <sz val="9"/>
            <color indexed="81"/>
            <rFont val="Segoe UI"/>
            <charset val="1"/>
          </rPr>
          <t>renato macario:</t>
        </r>
        <r>
          <rPr>
            <sz val="9"/>
            <color indexed="81"/>
            <rFont val="Segoe UI"/>
            <charset val="1"/>
          </rPr>
          <t xml:space="preserve">
Source: StockEvents - https://stockevents.app/en/stock/SONY/dividends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9"/>
        </ext>
      </extLst>
    </bk>
    <bk>
      <extLst>
        <ext uri="{3e2802c4-a4d2-4d8b-9148-e3be6c30e623}">
          <xlrd:rvb i="42"/>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4"/>
        </ext>
      </extLst>
    </bk>
    <bk>
      <extLst>
        <ext uri="{3e2802c4-a4d2-4d8b-9148-e3be6c30e623}">
          <xlrd:rvb i="96"/>
        </ext>
      </extLst>
    </bk>
    <bk>
      <extLst>
        <ext uri="{3e2802c4-a4d2-4d8b-9148-e3be6c30e623}">
          <xlrd:rvb i="98"/>
        </ext>
      </extLst>
    </bk>
    <bk>
      <extLst>
        <ext uri="{3e2802c4-a4d2-4d8b-9148-e3be6c30e623}">
          <xlrd:rvb i="100"/>
        </ext>
      </extLst>
    </bk>
  </futureMetadata>
  <cellMetadata count="1">
    <bk>
      <rc t="1" v="0"/>
    </bk>
  </cellMetadata>
  <valueMetadata count="3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valueMetadata>
</metadata>
</file>

<file path=xl/sharedStrings.xml><?xml version="1.0" encoding="utf-8"?>
<sst xmlns="http://schemas.openxmlformats.org/spreadsheetml/2006/main" count="313" uniqueCount="129">
  <si>
    <t>AÇÃO</t>
  </si>
  <si>
    <t>VAR.</t>
  </si>
  <si>
    <t xml:space="preserve">VALOR </t>
  </si>
  <si>
    <t>COMPRA</t>
  </si>
  <si>
    <t>RENT</t>
  </si>
  <si>
    <t>MOEDA</t>
  </si>
  <si>
    <t>VALOR</t>
  </si>
  <si>
    <t xml:space="preserve">Nº AÇÕES </t>
  </si>
  <si>
    <t>VAL. INVEST.</t>
  </si>
  <si>
    <t>VAL. ATUAL</t>
  </si>
  <si>
    <t>LUCRO/PERDA</t>
  </si>
  <si>
    <t>COD AÇÃO</t>
  </si>
  <si>
    <t>BBSE3</t>
  </si>
  <si>
    <t>VALE3</t>
  </si>
  <si>
    <t>PETR4</t>
  </si>
  <si>
    <t>ABEV3</t>
  </si>
  <si>
    <t>DATA</t>
  </si>
  <si>
    <t>Variação</t>
  </si>
  <si>
    <t>Preço</t>
  </si>
  <si>
    <t>VAL. REAIS (R$)</t>
  </si>
  <si>
    <t>CARTEIRA</t>
  </si>
  <si>
    <t>Nº AÇÕES</t>
  </si>
  <si>
    <t>RENT. TOTAL</t>
  </si>
  <si>
    <t>AÇÕES BRASILEIRAS</t>
  </si>
  <si>
    <t>AÇÕES EUA (REITS)</t>
  </si>
  <si>
    <t>AÇÕES ASIÁTICAS</t>
  </si>
  <si>
    <t>SMALL CAPS BR</t>
  </si>
  <si>
    <t>TOTAL GERAL</t>
  </si>
  <si>
    <t>COD AÇÃO SMALL CAPS BR</t>
  </si>
  <si>
    <t>📅 CALENDÁRIO DE DIVIDENDOS - CARTEIRA RENATO</t>
  </si>
  <si>
    <t>HOJE:</t>
  </si>
  <si>
    <t>TICKER</t>
  </si>
  <si>
    <t>TIPO</t>
  </si>
  <si>
    <t>DATA COM</t>
  </si>
  <si>
    <t>DATA PAGTO</t>
  </si>
  <si>
    <t>VALOR/AÇÃO</t>
  </si>
  <si>
    <t>VALOR TOTAL</t>
  </si>
  <si>
    <t>DIAS P/ PAGTO</t>
  </si>
  <si>
    <t>STATUS</t>
  </si>
  <si>
    <t>OBSERVAÇÕES</t>
  </si>
  <si>
    <t>JCP</t>
  </si>
  <si>
    <t>22/04/2026</t>
  </si>
  <si>
    <t>20/05/2026</t>
  </si>
  <si>
    <t>BRL</t>
  </si>
  <si>
    <t>1ª parcela JCP - data-com 22/04/2026</t>
  </si>
  <si>
    <t>22/06/2026</t>
  </si>
  <si>
    <t>2ª parcela JCP</t>
  </si>
  <si>
    <t>Div+JCP</t>
  </si>
  <si>
    <t>Ago/2026 (esperado)</t>
  </si>
  <si>
    <t>Aguardando</t>
  </si>
  <si>
    <t>Semestral - último pago 04/03/2026. Próx esperado ago/2026</t>
  </si>
  <si>
    <t>BBAS3</t>
  </si>
  <si>
    <t>13/05/2026 (est)</t>
  </si>
  <si>
    <t>2T26 (valor estimado)</t>
  </si>
  <si>
    <t>13/08/2026 (est)</t>
  </si>
  <si>
    <t>3T26 (valor estimado)</t>
  </si>
  <si>
    <t>Proventos complementares</t>
  </si>
  <si>
    <t>4T26</t>
  </si>
  <si>
    <t>18/12/2025</t>
  </si>
  <si>
    <t>31/12/2026</t>
  </si>
  <si>
    <t>JCP bruto - data exata até 31/12/2026</t>
  </si>
  <si>
    <t>CPTS11</t>
  </si>
  <si>
    <t>Rend. FII</t>
  </si>
  <si>
    <t>30/04/2026 (est)</t>
  </si>
  <si>
    <t>15/05/2026</t>
  </si>
  <si>
    <t>FII - distribuição MENSAL ~dia 15</t>
  </si>
  <si>
    <t>29/05/2026 (est)</t>
  </si>
  <si>
    <t>15/06/2026</t>
  </si>
  <si>
    <t>Rendimento mensal recorrente</t>
  </si>
  <si>
    <t>CURY3</t>
  </si>
  <si>
    <t>Dividendo</t>
  </si>
  <si>
    <t>Parcela única - data exata ainda a divulgar</t>
  </si>
  <si>
    <t>DIRR3</t>
  </si>
  <si>
    <t>Jun/2026 (est)</t>
  </si>
  <si>
    <t>Jul/2026 (est)</t>
  </si>
  <si>
    <t>~75 dias</t>
  </si>
  <si>
    <t>Semestral - histórico: jul e dez (valores estimados)</t>
  </si>
  <si>
    <t>AZZA3</t>
  </si>
  <si>
    <t>Dez/2026 (est)</t>
  </si>
  <si>
    <t>~8 meses</t>
  </si>
  <si>
    <t>Anual fim de ano (base histórica último pago 30/12/2025)</t>
  </si>
  <si>
    <t>VIVA3</t>
  </si>
  <si>
    <t>Anual fim de ano (último pago 30/12/2025)</t>
  </si>
  <si>
    <t>SIMH3</t>
  </si>
  <si>
    <t>Mai/2026 (est)</t>
  </si>
  <si>
    <t>~30 dias</t>
  </si>
  <si>
    <t>🟢 Próximo</t>
  </si>
  <si>
    <t>Último pagamento foi R$0,14 em 19/05/2025</t>
  </si>
  <si>
    <t>BMOB3</t>
  </si>
  <si>
    <t>Anual - empresa sinalizou payout 100% lucro em 2026</t>
  </si>
  <si>
    <t>O</t>
  </si>
  <si>
    <t>Dividend</t>
  </si>
  <si>
    <t>30/04/2026</t>
  </si>
  <si>
    <t>USD</t>
  </si>
  <si>
    <t>Realty Income - MENSAL. Próximo de ~16 pagamentos/ano</t>
  </si>
  <si>
    <t>TSM</t>
  </si>
  <si>
    <t>Trimestral - 4T25 aprovado NT$6/ação (~US$0,95/ADR)</t>
  </si>
  <si>
    <t>BABA</t>
  </si>
  <si>
    <t>Anual - previsão com base no histórico (último US$0,95 em jul/2025)</t>
  </si>
  <si>
    <t>TCEHY</t>
  </si>
  <si>
    <t>19/05/2026</t>
  </si>
  <si>
    <t>16/06/2026</t>
  </si>
  <si>
    <t>Anual - previsão com base no histórico (jun/ano anterior)</t>
  </si>
  <si>
    <t>PDD</t>
  </si>
  <si>
    <t>N/A</t>
  </si>
  <si>
    <t>-</t>
  </si>
  <si>
    <t>NÃO PAGA</t>
  </si>
  <si>
    <t>Não paga dividendos</t>
  </si>
  <si>
    <t>Empresa de crescimento - reinveste lucros</t>
  </si>
  <si>
    <t>SONY</t>
  </si>
  <si>
    <t>Semi-anual - data ex já passou (31/03), pagto garantido em jun</t>
  </si>
  <si>
    <t>TOTAIS (em BRL)</t>
  </si>
  <si>
    <t>Total em BRL (BR):</t>
  </si>
  <si>
    <t>Total em USD (Int'l):</t>
  </si>
  <si>
    <t>Total USD convertido (BRL):</t>
  </si>
  <si>
    <t>TOTAL GERAL A RECEBER (BRL):</t>
  </si>
  <si>
    <t>ALERTAS:</t>
  </si>
  <si>
    <t>Iminente (≤7d):</t>
  </si>
  <si>
    <t>Em breve (8-15d):</t>
  </si>
  <si>
    <t>Próximos 30d:</t>
  </si>
  <si>
    <t>PRÓXIMOS 30 DIAS (ordenado por data)</t>
  </si>
  <si>
    <t>Ticker</t>
  </si>
  <si>
    <t>Data Pagto</t>
  </si>
  <si>
    <t>Dias</t>
  </si>
  <si>
    <t>Valor Total</t>
  </si>
  <si>
    <t>Moeda</t>
  </si>
  <si>
    <t>Tipo</t>
  </si>
  <si>
    <t>Data Com</t>
  </si>
  <si>
    <t>Valor/Ação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</si>
</sst>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R$&quot;\ * #,##0.00_-;\-&quot;R$&quot;\ * #,##0.00_-;_-&quot;R$&quot;\ * &quot;-&quot;??_-;_-@_-"/>
    <numFmt numFmtId="164" formatCode="_-[$R$-416]\ * #,##0.00_-;\-[$R$-416]\ * #,##0.00_-;_-[$R$-416]\ * &quot;-&quot;??_-;_-@_-"/>
    <numFmt numFmtId="165" formatCode="_([$$-409]* #,##0.00_);_([$$-409]* \(#,##0.00\);_([$$-409]* &quot;-&quot;??_);_(@_)"/>
    <numFmt numFmtId="166" formatCode="_-[$$-409]* #,##0.00_ ;_-[$$-409]* \-#,##0.00\ ;_-[$$-409]* &quot;-&quot;??_ ;_-@_ "/>
    <numFmt numFmtId="167" formatCode="[$OMR]\ #,##0.00;\-[$OMR]\ #,##0.00"/>
    <numFmt numFmtId="168" formatCode="#,##0.00000"/>
    <numFmt numFmtId="169" formatCode="_(&quot;R$&quot;* #,##0.00_);_(&quot;R$&quot;* \(#,##0.00\);_(&quot;R$&quot;* &quot;-&quot;??_);_(@_)"/>
    <numFmt numFmtId="170" formatCode="d\-mmm"/>
    <numFmt numFmtId="171" formatCode="[$$-409]#,##0.00"/>
    <numFmt numFmtId="172" formatCode="&quot;R$&quot;\ #,##0.00"/>
    <numFmt numFmtId="173" formatCode="_-[$R$-416]\ * #,##0.00_-"/>
  </numFmts>
  <fonts count="20" x14ac:knownFonts="1">
    <font>
      <sz val="11"/>
      <color theme="1"/>
      <name val="Aptos Narrow"/>
      <family val="2"/>
      <scheme val="minor"/>
    </font>
    <font>
      <b/>
      <sz val="11"/>
      <color theme="0"/>
      <name val="Aptos Narrow"/>
      <family val="2"/>
      <scheme val="minor"/>
    </font>
    <font>
      <b/>
      <sz val="11"/>
      <color rgb="FFFFFFFF"/>
      <name val="Aptos Narrow"/>
      <family val="2"/>
      <scheme val="minor"/>
    </font>
    <font>
      <sz val="11"/>
      <color theme="1"/>
      <name val="Aptos Narrow"/>
      <family val="2"/>
      <scheme val="minor"/>
    </font>
    <font>
      <sz val="9"/>
      <color indexed="81"/>
      <name val="Segoe UI"/>
      <family val="2"/>
    </font>
    <font>
      <b/>
      <sz val="9"/>
      <color indexed="81"/>
      <name val="Segoe UI"/>
      <family val="2"/>
    </font>
    <font>
      <b/>
      <sz val="11"/>
      <color theme="1"/>
      <name val="Aptos Narrow"/>
      <family val="2"/>
      <scheme val="minor"/>
    </font>
    <font>
      <b/>
      <sz val="11"/>
      <color rgb="FFFFFFFF"/>
      <name val="Aptos Narrow"/>
      <family val="2"/>
      <scheme val="minor"/>
    </font>
    <font>
      <sz val="11"/>
      <color rgb="FF000000"/>
      <name val="Aptos Narrow"/>
      <family val="2"/>
      <scheme val="minor"/>
    </font>
    <font>
      <b/>
      <sz val="11"/>
      <color rgb="FFFFFF00"/>
      <name val="Aptos Narrow"/>
      <family val="2"/>
      <scheme val="minor"/>
    </font>
    <font>
      <sz val="9"/>
      <color indexed="81"/>
      <name val="Segoe UI"/>
      <charset val="1"/>
    </font>
    <font>
      <b/>
      <sz val="9"/>
      <color indexed="81"/>
      <name val="Segoe UI"/>
      <charset val="1"/>
    </font>
    <font>
      <b/>
      <sz val="12"/>
      <color theme="1"/>
      <name val="Aptos Narrow"/>
      <family val="2"/>
      <scheme val="minor"/>
    </font>
    <font>
      <sz val="11"/>
      <color rgb="FFC00000"/>
      <name val="Aptos Narrow"/>
      <family val="2"/>
      <scheme val="minor"/>
    </font>
    <font>
      <b/>
      <sz val="11"/>
      <color rgb="FFC00000"/>
      <name val="Aptos Narrow"/>
      <family val="2"/>
      <scheme val="minor"/>
    </font>
    <font>
      <sz val="11"/>
      <color rgb="FFBF8F00"/>
      <name val="Aptos Narrow"/>
      <family val="2"/>
      <scheme val="minor"/>
    </font>
    <font>
      <b/>
      <sz val="11"/>
      <color rgb="FFBF8F00"/>
      <name val="Aptos Narrow"/>
      <family val="2"/>
      <scheme val="minor"/>
    </font>
    <font>
      <sz val="11"/>
      <color rgb="FF375623"/>
      <name val="Aptos Narrow"/>
      <family val="2"/>
      <scheme val="minor"/>
    </font>
    <font>
      <b/>
      <sz val="11"/>
      <color rgb="FF375623"/>
      <name val="Aptos Narrow"/>
      <family val="2"/>
      <scheme val="minor"/>
    </font>
    <font>
      <b/>
      <sz val="8"/>
      <color rgb="FFFFFFFF"/>
      <name val="Aptos Narrow"/>
      <family val="2"/>
      <scheme val="minor"/>
    </font>
  </fonts>
  <fills count="13">
    <fill>
      <patternFill patternType="none"/>
    </fill>
    <fill>
      <patternFill patternType="gray125"/>
    </fill>
    <fill>
      <patternFill patternType="solid">
        <fgColor theme="1"/>
        <bgColor theme="1"/>
      </patternFill>
    </fill>
    <fill>
      <patternFill patternType="solid">
        <fgColor rgb="FF000000"/>
        <bgColor indexed="64"/>
      </patternFill>
    </fill>
    <fill>
      <patternFill patternType="solid">
        <fgColor rgb="FFFFFFFF"/>
        <bgColor indexed="64"/>
      </patternFill>
    </fill>
    <fill>
      <patternFill patternType="solid">
        <fgColor rgb="FF4472C4"/>
        <bgColor indexed="64"/>
      </patternFill>
    </fill>
    <fill>
      <patternFill patternType="solid">
        <fgColor rgb="FFFFC7CE"/>
        <bgColor indexed="64"/>
      </patternFill>
    </fill>
    <fill>
      <patternFill patternType="solid">
        <fgColor rgb="FFC6EFCE"/>
        <bgColor indexed="64"/>
      </patternFill>
    </fill>
    <fill>
      <patternFill patternType="solid">
        <fgColor rgb="FF1F4E78"/>
        <bgColor indexed="64"/>
      </patternFill>
    </fill>
    <fill>
      <patternFill patternType="solid">
        <fgColor rgb="FFFFFF00"/>
        <bgColor indexed="64"/>
      </patternFill>
    </fill>
    <fill>
      <patternFill patternType="solid">
        <fgColor rgb="FFFFEB9C"/>
        <bgColor indexed="64"/>
      </patternFill>
    </fill>
    <fill>
      <patternFill patternType="solid">
        <fgColor rgb="FFFFF2CC"/>
        <bgColor indexed="64"/>
      </patternFill>
    </fill>
    <fill>
      <patternFill patternType="solid">
        <fgColor rgb="FFD9E1F2"/>
        <bgColor indexed="64"/>
      </patternFill>
    </fill>
  </fills>
  <borders count="15">
    <border>
      <left/>
      <right/>
      <top/>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double">
        <color theme="1"/>
      </top>
      <bottom style="thin">
        <color theme="1"/>
      </bottom>
      <diagonal/>
    </border>
    <border>
      <left/>
      <right/>
      <top style="double">
        <color theme="1"/>
      </top>
      <bottom style="thin">
        <color theme="1"/>
      </bottom>
      <diagonal/>
    </border>
    <border>
      <left/>
      <right style="thin">
        <color theme="1"/>
      </right>
      <top style="double">
        <color theme="1"/>
      </top>
      <bottom style="thin">
        <color theme="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164" fontId="0" fillId="0" borderId="0" xfId="0" applyNumberFormat="1"/>
    <xf numFmtId="10" fontId="0" fillId="0" borderId="0" xfId="0" applyNumberFormat="1"/>
    <xf numFmtId="44" fontId="0" fillId="0" borderId="0" xfId="0" applyNumberFormat="1"/>
    <xf numFmtId="0" fontId="1" fillId="2" borderId="1" xfId="0" applyFont="1" applyFill="1" applyBorder="1"/>
    <xf numFmtId="10" fontId="0" fillId="0" borderId="1" xfId="0" applyNumberFormat="1" applyBorder="1"/>
    <xf numFmtId="164" fontId="0" fillId="0" borderId="1" xfId="0" applyNumberFormat="1" applyBorder="1"/>
    <xf numFmtId="44" fontId="0" fillId="0" borderId="1" xfId="0" applyNumberFormat="1" applyBorder="1"/>
    <xf numFmtId="0" fontId="0" fillId="0" borderId="1" xfId="0" applyBorder="1"/>
    <xf numFmtId="10" fontId="1" fillId="2" borderId="1" xfId="0" applyNumberFormat="1" applyFont="1" applyFill="1" applyBorder="1"/>
    <xf numFmtId="0" fontId="1" fillId="2" borderId="0" xfId="0" applyFont="1" applyFill="1"/>
    <xf numFmtId="44" fontId="1" fillId="2" borderId="0" xfId="0" applyNumberFormat="1" applyFont="1" applyFill="1"/>
    <xf numFmtId="10" fontId="1" fillId="2" borderId="0" xfId="0" applyNumberFormat="1" applyFont="1" applyFill="1"/>
    <xf numFmtId="0" fontId="1" fillId="2" borderId="2" xfId="0" applyFont="1" applyFill="1" applyBorder="1"/>
    <xf numFmtId="44" fontId="1" fillId="2" borderId="1" xfId="0" applyNumberFormat="1" applyFont="1" applyFill="1" applyBorder="1"/>
    <xf numFmtId="0" fontId="1" fillId="2" borderId="3" xfId="0" applyFont="1" applyFill="1" applyBorder="1"/>
    <xf numFmtId="16" fontId="0" fillId="0" borderId="0" xfId="0" applyNumberFormat="1"/>
    <xf numFmtId="0" fontId="1" fillId="2" borderId="4" xfId="0" applyFont="1" applyFill="1" applyBorder="1"/>
    <xf numFmtId="16" fontId="0" fillId="0" borderId="1" xfId="0" applyNumberFormat="1" applyBorder="1"/>
    <xf numFmtId="165" fontId="0" fillId="0" borderId="1" xfId="0" applyNumberFormat="1" applyBorder="1"/>
    <xf numFmtId="167" fontId="0" fillId="0" borderId="1" xfId="0" applyNumberFormat="1" applyBorder="1"/>
    <xf numFmtId="166" fontId="0" fillId="0" borderId="1" xfId="0" applyNumberFormat="1" applyBorder="1"/>
    <xf numFmtId="168" fontId="0" fillId="0" borderId="1" xfId="0" applyNumberFormat="1" applyBorder="1"/>
    <xf numFmtId="0" fontId="2" fillId="3" borderId="5" xfId="0" applyFont="1" applyFill="1" applyBorder="1"/>
    <xf numFmtId="169" fontId="2" fillId="3" borderId="5" xfId="0" applyNumberFormat="1" applyFont="1" applyFill="1" applyBorder="1"/>
    <xf numFmtId="10" fontId="2" fillId="3" borderId="5" xfId="0" applyNumberFormat="1" applyFont="1" applyFill="1" applyBorder="1"/>
    <xf numFmtId="0" fontId="2" fillId="3" borderId="6" xfId="0" applyFont="1" applyFill="1" applyBorder="1"/>
    <xf numFmtId="0" fontId="3" fillId="0" borderId="5" xfId="0" applyFont="1" applyBorder="1"/>
    <xf numFmtId="165" fontId="3" fillId="0" borderId="5" xfId="0" applyNumberFormat="1" applyFont="1" applyBorder="1"/>
    <xf numFmtId="166" fontId="3" fillId="0" borderId="5" xfId="0" applyNumberFormat="1" applyFont="1" applyBorder="1"/>
    <xf numFmtId="10" fontId="3" fillId="0" borderId="5" xfId="0" applyNumberFormat="1" applyFont="1" applyBorder="1"/>
    <xf numFmtId="170" fontId="3" fillId="0" borderId="6" xfId="0" applyNumberFormat="1" applyFont="1" applyBorder="1"/>
    <xf numFmtId="166" fontId="3" fillId="0" borderId="7" xfId="0" applyNumberFormat="1" applyFont="1" applyBorder="1"/>
    <xf numFmtId="0" fontId="2" fillId="3" borderId="7" xfId="0" applyFont="1" applyFill="1" applyBorder="1"/>
    <xf numFmtId="169" fontId="7" fillId="3" borderId="5" xfId="0" applyNumberFormat="1" applyFont="1" applyFill="1" applyBorder="1"/>
    <xf numFmtId="164" fontId="8" fillId="4" borderId="0" xfId="0" applyNumberFormat="1" applyFont="1" applyFill="1"/>
    <xf numFmtId="164" fontId="8" fillId="4" borderId="1" xfId="0" applyNumberFormat="1" applyFont="1" applyFill="1" applyBorder="1"/>
    <xf numFmtId="164" fontId="8" fillId="4" borderId="5" xfId="0" applyNumberFormat="1" applyFont="1" applyFill="1" applyBorder="1"/>
    <xf numFmtId="10" fontId="6" fillId="0" borderId="8" xfId="0" applyNumberFormat="1" applyFont="1" applyBorder="1"/>
    <xf numFmtId="0" fontId="6" fillId="0" borderId="11" xfId="0" applyFont="1" applyBorder="1"/>
    <xf numFmtId="0" fontId="6" fillId="0" borderId="12" xfId="0" applyFont="1" applyBorder="1"/>
    <xf numFmtId="16" fontId="0" fillId="0" borderId="2" xfId="0" applyNumberFormat="1" applyBorder="1"/>
    <xf numFmtId="164" fontId="0" fillId="0" borderId="3" xfId="0" applyNumberFormat="1" applyBorder="1"/>
    <xf numFmtId="164" fontId="6" fillId="0" borderId="12" xfId="0" applyNumberFormat="1" applyFont="1" applyBorder="1"/>
    <xf numFmtId="44" fontId="6" fillId="0" borderId="12" xfId="0" applyNumberFormat="1" applyFont="1" applyBorder="1"/>
    <xf numFmtId="10" fontId="6" fillId="0" borderId="12" xfId="0" applyNumberFormat="1" applyFont="1" applyBorder="1"/>
    <xf numFmtId="164" fontId="6" fillId="0" borderId="13" xfId="0" applyNumberFormat="1" applyFont="1" applyBorder="1"/>
    <xf numFmtId="16" fontId="6" fillId="0" borderId="9" xfId="0" applyNumberFormat="1" applyFont="1" applyBorder="1"/>
    <xf numFmtId="0" fontId="6" fillId="0" borderId="8" xfId="0" applyFont="1" applyBorder="1"/>
    <xf numFmtId="165" fontId="6" fillId="0" borderId="8" xfId="0" applyNumberFormat="1" applyFont="1" applyBorder="1"/>
    <xf numFmtId="167" fontId="6" fillId="0" borderId="8" xfId="0" applyNumberFormat="1" applyFont="1" applyBorder="1"/>
    <xf numFmtId="166" fontId="6" fillId="0" borderId="8" xfId="0" applyNumberFormat="1" applyFont="1" applyBorder="1"/>
    <xf numFmtId="166" fontId="6" fillId="0" borderId="10" xfId="0" applyNumberFormat="1" applyFont="1" applyBorder="1"/>
    <xf numFmtId="16" fontId="3" fillId="0" borderId="6" xfId="0" applyNumberFormat="1" applyFont="1" applyBorder="1"/>
    <xf numFmtId="165" fontId="3" fillId="0" borderId="7" xfId="0" applyNumberFormat="1" applyFont="1" applyBorder="1"/>
    <xf numFmtId="0" fontId="2" fillId="5" borderId="14" xfId="0" applyFont="1" applyFill="1" applyBorder="1"/>
    <xf numFmtId="0" fontId="0" fillId="0" borderId="14" xfId="0" applyBorder="1"/>
    <xf numFmtId="10" fontId="0" fillId="0" borderId="14" xfId="0" applyNumberFormat="1" applyBorder="1"/>
    <xf numFmtId="10" fontId="2" fillId="5" borderId="14" xfId="0" applyNumberFormat="1" applyFont="1" applyFill="1" applyBorder="1"/>
    <xf numFmtId="171" fontId="0" fillId="0" borderId="14" xfId="0" applyNumberFormat="1" applyBorder="1"/>
    <xf numFmtId="172" fontId="0" fillId="0" borderId="14" xfId="0" applyNumberFormat="1" applyBorder="1"/>
    <xf numFmtId="172" fontId="2" fillId="5" borderId="14" xfId="0" applyNumberFormat="1" applyFont="1" applyFill="1" applyBorder="1"/>
    <xf numFmtId="0" fontId="9" fillId="3" borderId="5" xfId="0" applyFont="1" applyFill="1" applyBorder="1"/>
    <xf numFmtId="0" fontId="6" fillId="0" borderId="0" xfId="0" applyFont="1"/>
    <xf numFmtId="0" fontId="6" fillId="9" borderId="0" xfId="0" applyFont="1" applyFill="1"/>
    <xf numFmtId="14" fontId="6" fillId="9" borderId="0" xfId="0" applyNumberFormat="1" applyFont="1" applyFill="1"/>
    <xf numFmtId="0" fontId="2" fillId="8"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68" fontId="0" fillId="0" borderId="0" xfId="0" applyNumberFormat="1"/>
    <xf numFmtId="173" fontId="0" fillId="0" borderId="0" xfId="0" applyNumberFormat="1"/>
    <xf numFmtId="14" fontId="0" fillId="0" borderId="0" xfId="0" applyNumberFormat="1"/>
    <xf numFmtId="17" fontId="0" fillId="0" borderId="0" xfId="0" applyNumberFormat="1" applyAlignment="1">
      <alignment horizontal="center"/>
    </xf>
    <xf numFmtId="0" fontId="2" fillId="5" borderId="0" xfId="0" applyFont="1" applyFill="1"/>
    <xf numFmtId="0" fontId="0" fillId="5" borderId="0" xfId="0" applyFill="1"/>
    <xf numFmtId="0" fontId="12" fillId="11" borderId="0" xfId="0" applyFont="1" applyFill="1"/>
    <xf numFmtId="0" fontId="13" fillId="6" borderId="0" xfId="0" applyFont="1" applyFill="1"/>
    <xf numFmtId="0" fontId="14" fillId="10" borderId="0" xfId="0" applyFont="1" applyFill="1" applyAlignment="1">
      <alignment horizontal="center"/>
    </xf>
    <xf numFmtId="0" fontId="15" fillId="7" borderId="0" xfId="0" applyFont="1" applyFill="1"/>
    <xf numFmtId="0" fontId="16" fillId="0" borderId="0" xfId="0" applyFont="1" applyAlignment="1">
      <alignment horizontal="center"/>
    </xf>
    <xf numFmtId="0" fontId="17" fillId="0" borderId="0" xfId="0" applyFont="1"/>
    <xf numFmtId="0" fontId="18" fillId="0" borderId="0" xfId="0" applyFont="1" applyAlignment="1">
      <alignment horizontal="center"/>
    </xf>
    <xf numFmtId="0" fontId="6" fillId="12" borderId="0" xfId="0" applyFont="1" applyFill="1"/>
    <xf numFmtId="0" fontId="19" fillId="8" borderId="0" xfId="0" applyFont="1" applyFill="1" applyAlignment="1">
      <alignment horizontal="center"/>
    </xf>
    <xf numFmtId="2" fontId="6" fillId="0" borderId="0" xfId="0" applyNumberFormat="1" applyFont="1"/>
    <xf numFmtId="2" fontId="12" fillId="11" borderId="0" xfId="0" applyNumberFormat="1" applyFont="1" applyFill="1"/>
    <xf numFmtId="0" fontId="0" fillId="0" borderId="0" xfId="0" applyAlignment="1">
      <alignment horizontal="left"/>
    </xf>
    <xf numFmtId="0" fontId="2" fillId="8" borderId="0" xfId="0" applyFont="1" applyFill="1" applyAlignment="1">
      <alignment horizontal="left"/>
    </xf>
  </cellXfs>
  <cellStyles count="1">
    <cellStyle name="Normal" xfId="0" builtinId="0"/>
  </cellStyles>
  <dxfs count="107">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595959"/>
      </font>
      <fill>
        <patternFill patternType="solid">
          <fgColor indexed="64"/>
          <bgColor rgb="FFD9D9D9"/>
        </patternFill>
      </fill>
    </dxf>
    <dxf>
      <font>
        <b/>
        <i val="0"/>
        <color rgb="FF006100"/>
      </font>
      <fill>
        <patternFill patternType="solid">
          <fgColor indexed="64"/>
          <bgColor rgb="FFC6EFCE"/>
        </patternFill>
      </fill>
    </dxf>
    <dxf>
      <font>
        <b/>
        <i val="0"/>
        <color rgb="FF9C5700"/>
      </font>
      <fill>
        <patternFill patternType="solid">
          <fgColor indexed="64"/>
          <bgColor rgb="FFFFEB9C"/>
        </patternFill>
      </fill>
    </dxf>
    <dxf>
      <font>
        <b/>
        <i val="0"/>
        <color rgb="FF9C0006"/>
      </font>
      <fill>
        <patternFill patternType="solid">
          <fgColor indexed="64"/>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64" formatCode="_-[$R$-416]\ * #,##0.00_-;\-[$R$-416]\ * #,##0.00_-;_-[$R$-416]\ * &quot;-&quot;??_-;_-@_-"/>
    </dxf>
    <dxf>
      <numFmt numFmtId="14" formatCode="0.00%"/>
    </dxf>
    <dxf>
      <numFmt numFmtId="14" formatCode="0.00%"/>
    </dxf>
    <dxf>
      <numFmt numFmtId="34" formatCode="_-&quot;R$&quot;\ * #,##0.00_-;\-&quot;R$&quot;\ * #,##0.00_-;_-&quot;R$&quot;\ * &quot;-&quot;??_-;_-@_-"/>
    </dxf>
    <dxf>
      <numFmt numFmtId="164" formatCode="_-[$R$-416]\ * #,##0.00_-;\-[$R$-416]\ * #,##0.00_-;_-[$R$-416]\ * &quot;-&quot;??_-;_-@_-"/>
    </dxf>
    <dxf>
      <numFmt numFmtId="14" formatCode="0.00%"/>
    </dxf>
    <dxf>
      <numFmt numFmtId="14" formatCode="0.00%"/>
    </dxf>
    <dxf>
      <numFmt numFmtId="34" formatCode="_-&quot;R$&quot;\ * #,##0.00_-;\-&quot;R$&quot;\ * #,##0.00_-;_-&quot;R$&quot;\ * &quot;-&quot;??_-;_-@_-"/>
    </dxf>
    <dxf>
      <numFmt numFmtId="164" formatCode="_-[$R$-416]\ * #,##0.00_-;\-[$R$-416]\ * #,##0.00_-;_-[$R$-416]\ * &quot;-&quot;??_-;_-@_-"/>
    </dxf>
    <dxf>
      <numFmt numFmtId="14" formatCode="0.00%"/>
    </dxf>
    <dxf>
      <numFmt numFmtId="164" formatCode="_-[$R$-416]\ * #,##0.00_-;\-[$R$-416]\ * #,##0.00_-;_-[$R$-416]\ * &quot;-&quot;??_-;_-@_-"/>
    </dxf>
    <dxf>
      <numFmt numFmtId="164" formatCode="_-[$R$-416]\ * #,##0.00_-;\-[$R$-416]\ * #,##0.00_-;_-[$R$-416]\ * &quot;-&quot;??_-;_-@_-"/>
    </dxf>
    <dxf>
      <numFmt numFmtId="164" formatCode="_-[$R$-416]\ * #,##0.00_-;\-[$R$-416]\ * #,##0.00_-;_-[$R$-416]\ * &quot;-&quot;??_-;_-@_-"/>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164" formatCode="_-[$R$-416]\ * #,##0.00_-;\-[$R$-416]\ * #,##0.00_-;_-[$R$-416]\ * &quot;-&quot;??_-;_-@_-"/>
      <border diagonalUp="0" diagonalDown="0">
        <left/>
        <right/>
        <top style="thin">
          <color theme="1"/>
        </top>
        <bottom/>
        <vertical/>
        <horizontal/>
      </border>
    </dxf>
    <dxf>
      <numFmt numFmtId="34" formatCode="_-&quot;R$&quot;\ * #,##0.00_-;\-&quot;R$&quot;\ * #,##0.00_-;_-&quot;R$&quot;\ * &quot;-&quot;??_-;_-@_-"/>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34" formatCode="_-&quot;R$&quot;\ * #,##0.00_-;\-&quot;R$&quot;\ * #,##0.00_-;_-&quot;R$&quot;\ * &quot;-&quot;??_-;_-@_-"/>
      <border diagonalUp="0" diagonalDown="0">
        <left/>
        <right/>
        <top style="thin">
          <color theme="1"/>
        </top>
        <bottom/>
        <vertical/>
        <horizontal/>
      </border>
    </dxf>
    <dxf>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numFmt numFmtId="14" formatCode="0.00%"/>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14" formatCode="0.00%"/>
      <border diagonalUp="0" diagonalDown="0">
        <left/>
        <right/>
        <top style="thin">
          <color theme="1"/>
        </top>
        <bottom/>
        <vertical/>
        <horizontal/>
      </border>
    </dxf>
    <dxf>
      <numFmt numFmtId="34" formatCode="_-&quot;R$&quot;\ * #,##0.00_-;\-&quot;R$&quot;\ * #,##0.00_-;_-&quot;R$&quot;\ * &quot;-&quot;??_-;_-@_-"/>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34" formatCode="_-&quot;R$&quot;\ * #,##0.00_-;\-&quot;R$&quot;\ * #,##0.00_-;_-&quot;R$&quot;\ * &quot;-&quot;??_-;_-@_-"/>
      <border diagonalUp="0" diagonalDown="0">
        <left/>
        <right/>
        <top style="thin">
          <color theme="1"/>
        </top>
        <bottom/>
        <vertical/>
        <horizontal/>
      </border>
    </dxf>
    <dxf>
      <numFmt numFmtId="164" formatCode="_-[$R$-416]\ * #,##0.00_-;\-[$R$-416]\ * #,##0.00_-;_-[$R$-416]\ * &quot;-&quot;??_-;_-@_-"/>
    </dxf>
    <dxf>
      <numFmt numFmtId="164" formatCode="_-[$R$-416]\ * #,##0.00_-;\-[$R$-416]\ * #,##0.00_-;_-[$R$-416]\ * &quot;-&quot;??_-;_-@_-"/>
    </dxf>
    <dxf>
      <numFmt numFmtId="14" formatCode="0.00%"/>
    </dxf>
    <dxf>
      <numFmt numFmtId="14" formatCode="0.00%"/>
    </dxf>
    <dxf>
      <border diagonalUp="0" diagonalDown="0" outline="0">
        <left/>
        <right/>
        <top style="thin">
          <color theme="1"/>
        </top>
        <bottom/>
      </border>
    </dxf>
    <dxf>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border outline="0">
        <left style="thin">
          <color theme="1"/>
        </left>
        <right style="thin">
          <color theme="1"/>
        </right>
        <top style="thin">
          <color theme="1"/>
        </top>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dxf>
    <dxf>
      <numFmt numFmtId="166" formatCode="_-[$$-409]* #,##0.00_ ;_-[$$-409]* \-#,##0.00\ ;_-[$$-409]* &quot;-&quot;??_ ;_-@_ "/>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166" formatCode="_-[$$-409]* #,##0.00_ ;_-[$$-409]* \-#,##0.00\ ;_-[$$-409]* &quot;-&quot;??_ ;_-@_ "/>
      <border diagonalUp="0" diagonalDown="0">
        <left/>
        <right/>
        <top style="thin">
          <color theme="1"/>
        </top>
        <bottom/>
        <vertical/>
        <horizontal/>
      </border>
    </dxf>
    <dxf>
      <numFmt numFmtId="166" formatCode="_-[$$-409]* #,##0.00_ ;_-[$$-409]* \-#,##0.00\ ;_-[$$-409]* &quot;-&quot;??_ ;_-@_ "/>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166" formatCode="_-[$$-409]* #,##0.00_ ;_-[$$-409]* \-#,##0.00\ ;_-[$$-409]* &quot;-&quot;??_ ;_-@_ "/>
      <border diagonalUp="0" diagonalDown="0">
        <left/>
        <right/>
        <top style="thin">
          <color theme="1"/>
        </top>
        <bottom/>
        <vertical/>
        <horizontal/>
      </border>
    </dxf>
    <dxf>
      <numFmt numFmtId="166" formatCode="_-[$$-409]* #,##0.00_ ;_-[$$-409]* \-#,##0.00\ ;_-[$$-409]* &quot;-&quot;??_ ;_-@_ "/>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166" formatCode="_-[$$-409]* #,##0.00_ ;_-[$$-409]* \-#,##0.00\ ;_-[$$-409]* &quot;-&quot;??_ ;_-@_ "/>
      <border diagonalUp="0" diagonalDown="0" outline="0">
        <left/>
        <right/>
        <top style="thin">
          <color theme="1"/>
        </top>
        <bottom/>
      </border>
    </dxf>
    <dxf>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168" formatCode="#,##0.00000"/>
      <border diagonalUp="0" diagonalDown="0" outline="0">
        <left/>
        <right/>
        <top style="thin">
          <color theme="1"/>
        </top>
        <bottom/>
      </border>
    </dxf>
    <dxf>
      <numFmt numFmtId="14" formatCode="0.00%"/>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14" formatCode="0.00%"/>
      <border diagonalUp="0" diagonalDown="0" outline="0">
        <left/>
        <right/>
        <top style="thin">
          <color theme="1"/>
        </top>
        <bottom/>
      </border>
    </dxf>
    <dxf>
      <numFmt numFmtId="167" formatCode="[$OMR]\ #,##0.00;\-[$OMR]\ #,##0.00"/>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166" formatCode="_-[$$-409]* #,##0.00_ ;_-[$$-409]* \-#,##0.00\ ;_-[$$-409]* &quot;-&quot;??_ ;_-@_ "/>
      <border diagonalUp="0" diagonalDown="0">
        <left/>
        <right/>
        <top style="thin">
          <color theme="1"/>
        </top>
        <bottom/>
      </border>
    </dxf>
    <dxf>
      <numFmt numFmtId="165" formatCode="_([$$-409]* #,##0.00_);_([$$-409]* \(#,##0.00\);_([$$-409]* &quot;-&quot;??_);_(@_)"/>
      <border diagonalUp="0" diagonalDown="0" outline="0">
        <left/>
        <right/>
        <top style="thin">
          <color theme="1"/>
        </top>
        <bottom/>
      </border>
    </dxf>
    <dxf>
      <font>
        <sz val="11"/>
        <color rgb="FF000000"/>
        <name val="Aptos Narrow"/>
      </font>
      <numFmt numFmtId="164" formatCode="_-[$R$-416]\ * #,##0.00_-;\-[$R$-416]\ * #,##0.00_-;_-[$R$-416]\ * &quot;-&quot;??_-;_-@_-"/>
      <fill>
        <patternFill patternType="solid">
          <fgColor indexed="64"/>
          <bgColor rgb="FFFFFFFF"/>
        </patternFill>
      </fill>
      <border diagonalUp="0" diagonalDown="0">
        <left/>
        <right/>
        <top style="thin">
          <color theme="1"/>
        </top>
        <bottom/>
        <vertical/>
        <horizontal/>
      </border>
    </dxf>
    <dxf>
      <numFmt numFmtId="165" formatCode="_([$$-409]* #,##0.00_);_([$$-409]* \(#,##0.00\);_([$$-409]* &quot;-&quot;??_);_(@_)"/>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165" formatCode="_([$$-409]* #,##0.00_);_([$$-409]* \(#,##0.00\);_([$$-409]* &quot;-&quot;??_);_(@_)"/>
      <border diagonalUp="0" diagonalDown="0" outline="0">
        <left/>
        <right/>
        <top style="thin">
          <color theme="1"/>
        </top>
        <bottom/>
      </border>
    </dxf>
    <dxf>
      <numFmt numFmtId="165" formatCode="_([$$-409]* #,##0.00_);_([$$-409]* \(#,##0.00\);_([$$-409]* &quot;-&quot;??_);_(@_)"/>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165" formatCode="_([$$-409]* #,##0.00_);_([$$-409]* \(#,##0.00\);_([$$-409]* &quot;-&quot;??_);_(@_)"/>
      <border diagonalUp="0" diagonalDown="0">
        <left/>
        <right/>
        <top style="thin">
          <color theme="1"/>
        </top>
        <bottom/>
        <vertical/>
        <horizontal/>
      </border>
    </dxf>
    <dxf>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1"/>
        </top>
        <bottom/>
        <vertical/>
        <horizontal/>
      </border>
    </dxf>
    <dxf>
      <numFmt numFmtId="21" formatCode="dd/mmm"/>
      <border diagonalUp="0" diagonalDown="0" outline="0">
        <left/>
        <right/>
        <top style="thin">
          <color theme="1"/>
        </top>
        <bottom/>
      </border>
    </dxf>
    <dxf>
      <font>
        <b val="0"/>
        <i val="0"/>
        <strike val="0"/>
        <condense val="0"/>
        <extend val="0"/>
        <outline val="0"/>
        <shadow val="0"/>
        <u val="none"/>
        <vertAlign val="baseline"/>
        <sz val="11"/>
        <color theme="1"/>
        <name val="Aptos Narrow"/>
        <family val="2"/>
        <scheme val="minor"/>
      </font>
      <numFmt numFmtId="21" formatCode="dd/mmm"/>
      <border diagonalUp="0" diagonalDown="0">
        <left/>
        <right/>
        <top style="thin">
          <color theme="1"/>
        </top>
        <bottom/>
        <vertical/>
        <horizontal/>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1"/>
          <bgColor theme="1"/>
        </patternFill>
      </fill>
    </dxf>
    <dxf>
      <numFmt numFmtId="164" formatCode="_-[$R$-416]\ * #,##0.00_-;\-[$R$-416]\ * #,##0.00_-;_-[$R$-416]\ * &quot;-&quot;??_-;_-@_-"/>
    </dxf>
    <dxf>
      <numFmt numFmtId="164" formatCode="_-[$R$-416]\ * #,##0.00_-;\-[$R$-416]\ * #,##0.00_-;_-[$R$-416]\ * &quot;-&quot;??_-;_-@_-"/>
    </dxf>
    <dxf>
      <numFmt numFmtId="164" formatCode="_-[$R$-416]\ * #,##0.00_-;\-[$R$-416]\ * #,##0.00_-;_-[$R$-416]\ * &quot;-&quot;??_-;_-@_-"/>
    </dxf>
    <dxf>
      <numFmt numFmtId="164" formatCode="_-[$R$-416]\ * #,##0.00_-;\-[$R$-416]\ * #,##0.00_-;_-[$R$-416]\ * &quot;-&quot;??_-;_-@_-"/>
    </dxf>
    <dxf>
      <numFmt numFmtId="34" formatCode="_-&quot;R$&quot;\ * #,##0.00_-;\-&quot;R$&quot;\ * #,##0.00_-;_-&quot;R$&quot;\ * &quot;-&quot;??_-;_-@_-"/>
    </dxf>
    <dxf>
      <numFmt numFmtId="34" formatCode="_-&quot;R$&quot;\ * #,##0.00_-;\-&quot;R$&quot;\ * #,##0.00_-;_-&quot;R$&quot;\ * &quot;-&quot;??_-;_-@_-"/>
    </dxf>
    <dxf>
      <numFmt numFmtId="14" formatCode="0.00%"/>
    </dxf>
    <dxf>
      <numFmt numFmtId="14" formatCode="0.00%"/>
    </dxf>
    <dxf>
      <numFmt numFmtId="34" formatCode="_-&quot;R$&quot;\ * #,##0.00_-;\-&quot;R$&quot;\ * #,##0.00_-;_-&quot;R$&quot;\ * &quot;-&quot;??_-;_-@_-"/>
    </dxf>
    <dxf>
      <numFmt numFmtId="34" formatCode="_-&quot;R$&quot;\ * #,##0.00_-;\-&quot;R$&quot;\ * #,##0.00_-;_-&quot;R$&quot;\ * &quot;-&quot;??_-;_-@_-"/>
    </dxf>
    <dxf>
      <numFmt numFmtId="164" formatCode="_-[$R$-416]\ * #,##0.00_-;\-[$R$-416]\ * #,##0.00_-;_-[$R$-416]\ * &quot;-&quot;??_-;_-@_-"/>
    </dxf>
    <dxf>
      <font>
        <sz val="11"/>
        <color rgb="FF000000"/>
        <name val="Aptos Narrow"/>
      </font>
      <numFmt numFmtId="164" formatCode="_-[$R$-416]\ * #,##0.00_-;\-[$R$-416]\ * #,##0.00_-;_-[$R$-416]\ * &quot;-&quot;??_-;_-@_-"/>
      <fill>
        <patternFill patternType="solid">
          <fgColor indexed="64"/>
          <bgColor rgb="FFFFFFFF"/>
        </patternFill>
      </fill>
    </dxf>
    <dxf>
      <numFmt numFmtId="164" formatCode="_-[$R$-416]\ * #,##0.00_-;\-[$R$-416]\ * #,##0.00_-;_-[$R$-416]\ * &quot;-&quot;??_-;_-@_-"/>
    </dxf>
    <dxf>
      <numFmt numFmtId="164" formatCode="_-[$R$-416]\ * #,##0.00_-;\-[$R$-416]\ * #,##0.00_-;_-[$R$-416]\ * &quot;-&quot;??_-;_-@_-"/>
    </dxf>
    <dxf>
      <numFmt numFmtId="164" formatCode="_-[$R$-416]\ * #,##0.00_-;\-[$R$-416]\ * #,##0.00_-;_-[$R$-416]\ * &quot;-&quot;??_-;_-@_-"/>
    </dxf>
    <dxf>
      <numFmt numFmtId="164" formatCode="_-[$R$-416]\ * #,##0.00_-;\-[$R$-416]\ * #,##0.00_-;_-[$R$-416]\ * &quot;-&quot;??_-;_-@_-"/>
    </dxf>
    <dxf>
      <font>
        <b/>
        <i val="0"/>
        <strike val="0"/>
        <condense val="0"/>
        <extend val="0"/>
        <outline val="0"/>
        <shadow val="0"/>
        <u val="none"/>
        <vertAlign val="baseline"/>
        <sz val="11"/>
        <color theme="0"/>
        <name val="Aptos Narrow"/>
        <family val="2"/>
        <scheme val="minor"/>
      </font>
      <fill>
        <patternFill patternType="solid">
          <fgColor theme="1"/>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ichStyles" Target="richData/richStyl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01">
  <rv s="0">
    <v>https://www.bing.com/financeapi/forcetrigger?t=aplz4c&amp;q=BVMF%3aBBSE3&amp;form=skydnc</v>
    <v>Learn more on Bing</v>
  </rv>
  <rv s="1">
    <v>pt-BR</v>
    <v>aplz4c</v>
    <v>268435456</v>
    <v>1</v>
    <v>Da plataforma Refinitiv</v>
    <v>0</v>
    <v>1</v>
    <v>BB Seguridade Participações S.A. (BVMF:BBSE3)</v>
    <v>3</v>
    <v>4</v>
    <v>Finance</v>
    <v>5</v>
    <v>37.69</v>
    <v>28.92</v>
    <v>BVMF</v>
    <v>1941400000</v>
    <v>34.19</v>
    <v>2012</v>
    <v>33.9</v>
    <v>0.37769999999999998</v>
    <v>B3 - Brazil Stock Exchange</v>
    <v>66046428000</v>
    <v>A BB Seguridade Participações S.A. é uma empresa brasileira que atua no setor de seguros. As atividades da empresa se dividem em dois segmentos: Seguros e Corretagem. A divisão Seguros oferece seguros de vida, propriedade e acidentes, veículos, riscos especiais, financeiro e transporte, planos odontológicos, de previdência privada e de capitalização, bem como resseguro. A divisão Corretagem concentra-se na corretagem de seguros, gestão dos planos de previdência e capitalização, bem como na promoção de produtos de seguros e resseguros. Além disso, presta consultoria relacionada à seleção de seguros. As subsidiárias da empresa incluem a BB Seguros Participações S.A. e a BB Cor Participações S.A. A empresa é controlada pelo BANCO DO BRASIL S.A.</v>
    <v>BVMF</v>
    <v>33.75</v>
    <v>268</v>
    <v>46142.790479385934</v>
    <v>0</v>
    <v>5926750</v>
    <v>BRL</v>
    <v>BB Seguridade Participações S.A.</v>
    <v>BB Seguridade Participações S.A.</v>
    <v>34.07</v>
    <v>34.020000000000003</v>
    <v>SAUN, Quadra 05, Bloco B, 3 andar Edificio BB, Asa Norte, BRASILIA, DISTRITO FEDERAL, 70.040-912 BR</v>
    <v>Insurance</v>
    <v>BBSE3</v>
    <v>Ações</v>
    <v>BB Seguridade Participações S.A. (BVMF:BBSE3)</v>
    <v>0.27</v>
    <v>8.0000000000000002E-3</v>
    <v>2157100</v>
  </rv>
  <rv s="2">
    <v>1</v>
  </rv>
  <rv s="0">
    <v>https://www.bing.com/financeapi/forcetrigger?t=apnjsm&amp;q=BVMF%3aVALE3&amp;form=skydnc</v>
    <v>Learn more on Bing</v>
  </rv>
  <rv s="1">
    <v>pt-BR</v>
    <v>apnjsm</v>
    <v>268435456</v>
    <v>1</v>
    <v>Da plataforma Refinitiv</v>
    <v>0</v>
    <v>1</v>
    <v>VALE S.A. (BVMF:VALE3)</v>
    <v>3</v>
    <v>4</v>
    <v>Finance</v>
    <v>5</v>
    <v>91.62</v>
    <v>45.64</v>
    <v>BVMF</v>
    <v>4439160000</v>
    <v>81.55</v>
    <v>1943</v>
    <v>80.209999999999994</v>
    <v>0.72360000000000002</v>
    <v>B3 - Brazil Stock Exchange</v>
    <v>361658365200</v>
    <v>A Vale SA, antiga Companhia Vale do Rio Doce, é uma empresa brasileira de metal e mineração que atua principalmente na produção de minério de ferro e níquel. A empresa também produz pelotas de minério de ferro, cobre, metais do grupo platina (PGMs), ouro, prata e cobalto. A Vale está envolvida na exploração mineral verde em cinco países e opera sistemas logísticos no Brasil e em outras regiões do mundo, incluindo ferrovias, terminais marítimos e portos, que são integrados às operações de mineração. Além disso, a Vale possui centros de distribuição para apoiar a entrega de minério de ferro em todo o mundo. A Vale possui inúmeras subsidiárias, incluindo a Vale Logistica Uruguay SA, Vale Holdings BV, Vale Overseas Ltd As operações da Companhia no exterior abrangem aproximadamente 30 países.</v>
    <v>BVMF</v>
    <v>79.44</v>
    <v>65805</v>
    <v>46142.790405092594</v>
    <v>3</v>
    <v>16190840</v>
    <v>BRL</v>
    <v>VALE S.A.</v>
    <v>VALE S.A.</v>
    <v>81.03</v>
    <v>81.47</v>
    <v>Torre Oscar Niemeyer, Praia de Botafogo n 186 Salas 1101 1701 1801, Botafogo, RIO DE JANEIRO, RIO DE JANEIRO, 22.250-145 BR</v>
    <v>Metals &amp; Mining</v>
    <v>VALE3</v>
    <v>Ações</v>
    <v>VALE S.A. (BVMF:VALE3)</v>
    <v>2.0299999999999998</v>
    <v>2.5554E-2</v>
    <v>12605600</v>
  </rv>
  <rv s="2">
    <v>4</v>
  </rv>
  <rv s="0">
    <v>https://www.bing.com/financeapi/forcetrigger?t=apn4gh&amp;q=BVMF%3aPETR4&amp;form=skydnc</v>
    <v>Learn more on Bing</v>
  </rv>
  <rv s="1">
    <v>pt-BR</v>
    <v>apn4gh</v>
    <v>268435456</v>
    <v>1</v>
    <v>Da plataforma Refinitiv</v>
    <v>0</v>
    <v>1</v>
    <v>Petróleo Brasileiro S.A. (Petrobras) (BVMF:PETR4)</v>
    <v>3</v>
    <v>4</v>
    <v>Finance</v>
    <v>5</v>
    <v>50</v>
    <v>26.93</v>
    <v>BVMF</v>
    <v>12888730000</v>
    <v>49.07</v>
    <v>1953</v>
    <v>48.29</v>
    <v>0.73370000000000002</v>
    <v>B3 - Brazil Stock Exchange</v>
    <v>631547770000</v>
    <v>A Petroleo Brasileiro SA Petrobras é uma empresa sediada no Brasil. A empresa é especializada na indústria de petróleo, gás natural e energia. A Empresa está envolvida na prospeção, perfuração, refino, processamento, comercialização e transporte de petróleo bruto da produção de campos petrolíferos onshore e offshore e de xisto ou outras rochas. Seus segmentos incluem Exploração e Produção (exploração, desenvolvimento e produção de petróleo bruto, líquidos de gás natural e gás natural); Refinação, Transporte, e Marketing (Refinação, logística, transporte, comercialização de produtos petrolíferos, exportação de etanol, processamento de xisto); Gás e Energia (transporte e comercialização de gás natural e importado); Biocombustíveis (produção de biodiesel e etanol); Distribuição (distribuição de combustível); e Corporate (funções administrativas e de apoio).</v>
    <v>BVMF</v>
    <v>48.96</v>
    <v>50687</v>
    <v>46142.79046710625</v>
    <v>6</v>
    <v>50644100</v>
    <v>BRL</v>
    <v>Petróleo Brasileiro S.A. (Petrobras)</v>
    <v>Petróleo Brasileiro S.A. (Petrobras)</v>
    <v>48.81</v>
    <v>49</v>
    <v>Av. Republica do Chile, n 65, 24 andar, Centro, Rio de Janeiro, RIO DE JANEIRO, 20.031-912 BR</v>
    <v>Oil &amp; Gas</v>
    <v>PETR4</v>
    <v>Ações</v>
    <v>Petróleo Brasileiro S.A. (Petrobras) (BVMF:PETR4)</v>
    <v>0.04</v>
    <v>8.1699999999999991E-4</v>
    <v>24192200</v>
  </rv>
  <rv s="2">
    <v>7</v>
  </rv>
  <rv s="0">
    <v>https://www.bing.com/financeapi/forcetrigger?t=apltyc&amp;q=BVMF%3aABEV3&amp;form=skydnc</v>
    <v>Learn more on Bing</v>
  </rv>
  <rv s="1">
    <v>pt-BR</v>
    <v>apltyc</v>
    <v>268435456</v>
    <v>1</v>
    <v>Da plataforma Refinitiv</v>
    <v>0</v>
    <v>1</v>
    <v>Ambev S.A. (BVMF:ABEV3)</v>
    <v>3</v>
    <v>4</v>
    <v>Finance</v>
    <v>5</v>
    <v>16.77</v>
    <v>11.07</v>
    <v>BVMF</v>
    <v>15763670000</v>
    <v>14.64</v>
    <v>2005</v>
    <v>14.36</v>
    <v>0.5857</v>
    <v>B3 - Brazil Stock Exchange</v>
    <v>229991945300</v>
    <v>A Ambev SA, anteriormente Inbev Participações Societarias SA, é uma empresa brasileira com sede no setor cervejeiro. A Companhia produz, distribui e vende cerveja, refrigerantes com gás (CSDs) e outras bebidas não alcoólicas e não carbonatadas (NANC) nas Américas. As atividades da Companhia estão divididas em três segmentos: América Latina do Norte, incluindo venda de cerveja, refrigerantes e bebidas NANC no Brasil, além de operações na República Dominicana, São Vicente, Antígua, Dominica, Cuba, Guatemala, El Salvador, Honduras, Nicarágua, Barbados e Panamá; América Latina Sul, distribuindo produtos na Argentina, Bolívia, Paraguai, Uruguai, Chile; e Canadá, representado pelas operações da Labatt, que inclui vendas no Canadá e algumas exportações para o mercado dos EUA. A Companhia comercializa produtos com várias marcas, como Adriatica, Brahma, Leffe, Budweiser, Corona, PepsiCo e Lipton. É uma subsidiária da Interbrew International BV.</v>
    <v>BVMF</v>
    <v>14.33</v>
    <v>39000</v>
    <v>46142.790455462498</v>
    <v>9</v>
    <v>25778470</v>
    <v>BRL</v>
    <v>Ambev S.A.</v>
    <v>Ambev S.A.</v>
    <v>14.36</v>
    <v>14.59</v>
    <v>Rua Dr. Renato Paes de Barros, 1.017, 4 andar, Itaim Bibi, SAO PAULO, SAO PAULO, 04.530-001 BR</v>
    <v>Beverages</v>
    <v>ABEV3</v>
    <v>Ações</v>
    <v>Ambev S.A. (BVMF:ABEV3)</v>
    <v>0.26</v>
    <v>1.8144E-2</v>
    <v>12186000</v>
  </rv>
  <rv s="2">
    <v>10</v>
  </rv>
  <rv s="0">
    <v>https://www.bing.com/financeapi/forcetrigger?t=aplygh&amp;q=BVMF%3aBBAS3&amp;form=skydnc</v>
    <v>Learn more on Bing</v>
  </rv>
  <rv s="1">
    <v>pt-BR</v>
    <v>aplygh</v>
    <v>268435456</v>
    <v>1</v>
    <v>Da plataforma Refinitiv</v>
    <v>0</v>
    <v>1</v>
    <v>Banco do Brasil S.A. (BVMF:BBAS3)</v>
    <v>3</v>
    <v>4</v>
    <v>Finance</v>
    <v>5</v>
    <v>29.02</v>
    <v>17.829999999999998</v>
    <v>BVMF</v>
    <v>5730834000</v>
    <v>22.27</v>
    <v>1808</v>
    <v>21.9</v>
    <v>0.91539999999999999</v>
    <v>B3 - Brazil Stock Exchange</v>
    <v>127453748159</v>
    <v>O BANCO DO BRASIL S.A. é uma empresa brasileira dedicada sobretudo ao setor financeiro. As atividades da Empresa estão divididas em cinco segmentos: bancário, investimentos, gestão de ativos, segurança e tipos de pagamento. O Banco também participa de outras atividades econômicas, como leasing e suporte operacional. O Banco tem clientes individuais e corporativos. Oferece uma variedade de produtos e serviços financeiros, como depósitos, contas poupança, gestão de ativos, empréstimos, e seguros de saúde, de vida e patrimonial. Além disso, oferece transações financeiras em várias formas, incluindo operações cambiais e atividades complementares, com ênfase na previdência privada, capitalização, valores mobiliários, corretagem, administração de cartões de crédito e de débito, consórcios, fundos de investimento e portfólios de gestão. O BANCO DO BRASIL S.A. atua nos mercados nacional e internacional.</v>
    <v>BVMF</v>
    <v>21.71</v>
    <v>85953</v>
    <v>46142.790462962963</v>
    <v>12</v>
    <v>21796960</v>
    <v>BRL</v>
    <v>Banco do Brasil S.A.</v>
    <v>Banco do Brasil S.A.</v>
    <v>21.9</v>
    <v>22.24</v>
    <v>Saun Quadra 05, Lote B Ed. BB, Asa Norte, NaN, BRASILIA, DISTRITO FEDERAL, 70.040-912 BR</v>
    <v>Banking Services</v>
    <v>BBAS3</v>
    <v>Ações</v>
    <v>Banco do Brasil S.A. (BVMF:BBAS3)</v>
    <v>0.53</v>
    <v>2.4413000000000001E-2</v>
    <v>9489700</v>
  </rv>
  <rv s="2">
    <v>13</v>
  </rv>
  <rv s="0">
    <v>https://www.bing.com/financeapi/forcetrigger?t=apmbdm&amp;q=BVMF%3aCPTS11&amp;form=skydnc</v>
    <v>Learn more on Bing</v>
  </rv>
  <rv s="3">
    <v>pt-BR</v>
    <v>apmbdm</v>
    <v>268435456</v>
    <v>1</v>
    <v>Da plataforma Refinitiv</v>
    <v>6</v>
    <v>7</v>
    <v>CAPITANIA SECURITIES II FII CF (BVMF:CPTS11)</v>
    <v>8</v>
    <v>9</v>
    <v>Finance</v>
    <v>5</v>
    <v>8.06</v>
    <v>6.3</v>
    <v>BVMF</v>
    <v>7.94</v>
    <v>7.9</v>
    <v>B3 - Brazil Stock Exchange</v>
    <v>7.9</v>
    <v>46142.790474003908</v>
    <v>15</v>
    <v>BRL</v>
    <v>CAPITANIA SECURITIES II FII CF</v>
    <v>7.9</v>
    <v>7.94</v>
    <v>CPTS11</v>
    <v>Fundos mais negociados</v>
    <v>CAPITANIA SECURITIES II FII CF (BVMF:CPTS11)</v>
    <v>0.04</v>
    <v>5.0629999999999998E-3</v>
    <v>627519</v>
  </rv>
  <rv s="2">
    <v>16</v>
  </rv>
  <rv s="0">
    <v>https://www.bing.com/financeapi/forcetrigger?t=a1z11h&amp;q=XNYS%3aO&amp;form=skydnc</v>
    <v>Learn more on Bing</v>
  </rv>
  <rv s="4">
    <v>pt-BR</v>
    <v>a1z11h</v>
    <v>268435456</v>
    <v>1</v>
    <v>Da plataforma Refinitiv</v>
    <v>10</v>
    <v>11</v>
    <v>REALTY INCOME CORPORATION (XNYS:O)</v>
    <v>3</v>
    <v>12</v>
    <v>Finance</v>
    <v>13</v>
    <v>67.935000000000002</v>
    <v>54.38</v>
    <v>XNYS</v>
    <v>932450600</v>
    <v>64.075000000000003</v>
    <v>1997</v>
    <v>63</v>
    <v>0.74939999999999996</v>
    <v>New York Stock Exchange</v>
    <v>59728123183</v>
    <v>Realty Income Corporation é uma confiança de investimento imobiliário. A Empresa está envolvida na aquisição e gestão de propriedades comerciais independentes que geram receita de aluguel sob contratos de longo prazo de locação líquida com seus clientes comerciais. Está envolvida em uma única atividade comercial, que é a locação de propriedade para os clientes, geralmente em uma base líquida. Essa atividade de negócios abrange vários limites geográficos e inclui tipos de propriedade e clientes envolvidos em vários setores. A Companhia possui aproximadamente 15 450 propriedades em 86 indústrias diferentes alugadas a mais de 1 300 clientes diferentes em todos os 50 estados, bem como Porto Rico, Reino Unido, Espanha, Itália, Irlanda, etc. França, Alemanha e Portugal. Seus tipos de propriedade incluem varejo, industrial, jogos e outros, como agricultura e escritório. Suas concentrações principais da indústria incluem mercearias, lojas de conveniência, lojas de dólares, farmácias, melhoria de casa, restaurantes-serviço rápido e outros.</v>
    <v>XNYS</v>
    <v>63.019500000000001</v>
    <v>544</v>
    <v>46142.800913703126</v>
    <v>18</v>
    <v>5159758</v>
    <v>USD</v>
    <v>REALTY INCOME CORPORATION</v>
    <v>REALTY INCOME CORPORATION</v>
    <v>55.015900000000002</v>
    <v>63.02</v>
    <v>64.055000000000007</v>
    <v>11995 El Camino Real, SAN DIEGO, CA, 92130 US</v>
    <v>Residential &amp; Commercial REIT</v>
    <v>O</v>
    <v>Ações</v>
    <v>REALTY INCOME CORPORATION (XNYS:O)</v>
    <v>1.0355000000000001</v>
    <v>1.6431000000000001E-2</v>
    <v>2591747</v>
  </rv>
  <rv s="2">
    <v>19</v>
  </rv>
  <rv s="0">
    <v>https://www.bing.com/financeapi/forcetrigger?t=a24kjc&amp;q=XNYS%3aTSM&amp;form=skydnc</v>
    <v>Learn more on Bing</v>
  </rv>
  <rv s="4">
    <v>pt-BR</v>
    <v>a24kjc</v>
    <v>268435456</v>
    <v>1</v>
    <v>Da plataforma Refinitiv</v>
    <v>10</v>
    <v>11</v>
    <v>Taiwan Semiconductor Manufacturing Co., Ltd. (XNYS:TSM)</v>
    <v>3</v>
    <v>12</v>
    <v>Finance</v>
    <v>13</v>
    <v>414.5</v>
    <v>161.75</v>
    <v>XNYS</v>
    <v>5186505000</v>
    <v>398.75</v>
    <v>1987</v>
    <v>385.71</v>
    <v>1.4063000000000001</v>
    <v>New York Stock Exchange</v>
    <v>2055567526650</v>
    <v>Taiwan Semicondutor Manufacturing Co Ltd é uma empresa sediada em Taiwan, principalmente envolvida na prestação de serviços de fabricação de circuitos integrados. Os serviços de fabricação de circuitos integrados incluem tecnologia de processo, tecnologia de processo especial, suporte de ecossistema de design, tecnologia de máscara, embalagem avançada 3DFabricTM e serviços de tecnologia de empilhamento de silício. A empresa completou a transferência e produção em massa de tecnologia de 5nm, e está envolvida na pesquisa e desenvolvimento de tecnologia de processo de 3nm e tecnologia de processo de 2nm. A gama de aplicações de produtos abrange toda a indústria de aplicações eletrónicas, incluindo computadores pessoais e produtos periféricos, produtos de aplicações de informação, produtos de sistemas de comunicação com e sem fios, servidores e centros de dados.</v>
    <v>XNYS</v>
    <v>393.83</v>
    <v>52045</v>
    <v>46142.80089990703</v>
    <v>21</v>
    <v>13853750</v>
    <v>USD</v>
    <v>Taiwan Semiconductor Manufacturing Co., Ltd.</v>
    <v>Taiwan Semiconductor Manufacturing Co., Ltd.</v>
    <v>34.0349</v>
    <v>397.71</v>
    <v>396.33</v>
    <v>No.8, Li-Hsin 6th Road, Hsinchu Science Park, HSINCHU, HSINCHU, 300 TW</v>
    <v>Semiconductors &amp; Semiconductor Equipment</v>
    <v>TSM</v>
    <v>Ações</v>
    <v>Taiwan Semiconductor Manufacturing Co., Ltd. (XNYS:TSM)</v>
    <v>2.5</v>
    <v>6.3480000000000003E-3</v>
    <v>10026013</v>
  </rv>
  <rv s="2">
    <v>22</v>
  </rv>
  <rv s="0">
    <v>https://www.bing.com/financeapi/forcetrigger?t=a1o4mw&amp;q=XNYS%3aBABA&amp;form=skydnc</v>
    <v>Learn more on Bing</v>
  </rv>
  <rv s="4">
    <v>pt-BR</v>
    <v>a1o4mw</v>
    <v>268435456</v>
    <v>1</v>
    <v>Da plataforma Refinitiv</v>
    <v>10</v>
    <v>11</v>
    <v>Alibaba Group Holding Limited (XNYS:BABA)</v>
    <v>3</v>
    <v>12</v>
    <v>Finance</v>
    <v>13</v>
    <v>192.67</v>
    <v>103.71</v>
    <v>XNYS</v>
    <v>2399049000</v>
    <v>132.46</v>
    <v>1999</v>
    <v>129.36000000000001</v>
    <v>0.49370000000000003</v>
    <v>New York Stock Exchange</v>
    <v>317778030540</v>
    <v>Alibaba Group Holding Ltd é uma holding de investimentos principalmente envolvida no fornecimento de infra-estrutura de tecnologia e plataformas de marketing. A Companhia opera seus negócios por meio de nove segmentos. O segmento de varejo de comércio da China está envolvido no negócio de varejo de comércio da China. O segmento de atacado do comércio de China está envolvido principalmente na operação de 1688.com. O segmento Cloud Intelligence fornece serviços em nuvem. O segmento de Varejo de Comércio Internacional fornece serviços de gestão de clientes, vendas de bens e serviços de logística. O segmento de Comércio Internacional Atacado está envolvido principalmente na operação de Alibaba.com. A Cainiao representa o segmento de Serviços Logísticos fornece serviços de atendimento. A receita do segmento de Serviços Locais inclui comissões de plataforma, receita de serviços de logística. O segmento de Mídia Digital e Entretenimento se envolve na operação da Youku e Alibaba. O segmento Todos os Outros está envolvido principalmente no Sun Art, Freshipopótamo e outros negócios.</v>
    <v>XNYS</v>
    <v>130.43</v>
    <v>128197</v>
    <v>46142.800873066408</v>
    <v>24</v>
    <v>9645348</v>
    <v>USD</v>
    <v>Alibaba Group Holding Limited</v>
    <v>Alibaba Group Holding Limited</v>
    <v>23.927499999999998</v>
    <v>130.15</v>
    <v>132.46</v>
    <v>26/F Tower One, Times Square 1 Matheson Street Causeway Bay, Shedden Road HK</v>
    <v>Software &amp; IT Services</v>
    <v>BABA</v>
    <v>Ações</v>
    <v>Alibaba Group Holding Limited (XNYS:BABA)</v>
    <v>2.0299999999999998</v>
    <v>1.5564E-2</v>
    <v>4812719</v>
  </rv>
  <rv s="2">
    <v>25</v>
  </rv>
  <rv s="0">
    <v>https://www.bing.com/financeapi/forcetrigger?t=a2xwk2&amp;q=OTCM%3aTCEHY&amp;form=skydnc</v>
    <v>Learn more on Bing</v>
  </rv>
  <rv s="4">
    <v>pt-BR</v>
    <v>a2xwk2</v>
    <v>268435456</v>
    <v>1</v>
    <v>Da plataforma Refinitiv</v>
    <v>10</v>
    <v>11</v>
    <v>Tencent Holdings (OTCM:TCEHY)</v>
    <v>3</v>
    <v>14</v>
    <v>Finance</v>
    <v>15</v>
    <v>87.68</v>
    <v>59.9</v>
    <v>OTCM</v>
    <v>9125598000</v>
    <v>60.81</v>
    <v>2004</v>
    <v>59.9</v>
    <v>1.3527</v>
    <v>OTC Markets</v>
    <v>5723093000000</v>
    <v>Tencent Holdings Ltd is an investment holding company primarily engaged in the provision of value-added services (VAS), online advertising services, as well as FinTech and business services. The Company primarily operates through four segments. The VAS segment is mainly engaged in the provision of online games, video account live broadcast services, paid video membership services and other social network services. The Online Advertising segment is mainly engaged in media advertising, social and other advertising businesses. The FinTech and Business Services segment mainly provides commercial payment, FinTech and cloud services. The Others segment is principally engaged in the investment, production and distribution of films and television program for third parties, copyrights licensing, merchandise sales and various other activities.</v>
    <v>OTCM</v>
    <v>60.27</v>
    <v>115849</v>
    <v>46142.790410647656</v>
    <v>27</v>
    <v>22921260</v>
    <v>USD</v>
    <v>Tencent Holdings</v>
    <v>Tencent Holdings</v>
    <v>0</v>
    <v>60.06</v>
    <v>60.74</v>
    <v>Tencent Binhai Towers, No. 33 Haitian 2nd Road, Nanshan District, SHENZHEN, GUANGDONG, 518054 CN</v>
    <v>Software &amp; IT Services</v>
    <v>TCEHY</v>
    <v>Ações</v>
    <v>Tencent Holdings (OTCM:TCEHY)</v>
    <v>0.47</v>
    <v>7.7980000000000002E-3</v>
    <v>2521372</v>
  </rv>
  <rv s="2">
    <v>28</v>
  </rv>
  <rv s="0">
    <v>https://www.bing.com/financeapi/forcetrigger?t=bjojk2&amp;q=XNAS%3aPDD&amp;form=skydnc</v>
    <v>Learn more on Bing</v>
  </rv>
  <rv s="4">
    <v>pt-BR</v>
    <v>bjojk2</v>
    <v>268435456</v>
    <v>1</v>
    <v>Da plataforma Refinitiv</v>
    <v>10</v>
    <v>11</v>
    <v>PDD Holdings Inc. (XNAS:PDD)</v>
    <v>3</v>
    <v>12</v>
    <v>Finance</v>
    <v>13</v>
    <v>139.41</v>
    <v>95.24</v>
    <v>XNAS</v>
    <v>1423396000</v>
    <v>100.79</v>
    <v>2015</v>
    <v>97.2</v>
    <v>2.1899999999999999E-2</v>
    <v>Nasdaq Stock Market</v>
    <v>143421380960</v>
    <v>PDD Holdings Inc. É uma empresa multinacional de comércio que possui e opera um portfólio de negócios. A empresa está focada em trazer empresas e pessoas para a economia digital, o que beneficia as comunidades locais e pequenas empresas da melhoria da produtividade e novas oportunidades. A empresa construiu uma rede de recursos de fornecimento, logística e atendimento que apoiam seus negócios subjacentes. Sua plataforma Pinduoduo oferece aos compradores uma seleção abrangente de merchandise de valor para o dinheiro e experiências de compras divertidas e interativas. A Temu, uma plataforma global de e-commerce que reúne compradores, comerciantes, fabricantes e marcas de todo o mundo, oferece uma seleção de mercadorias em categorias de produtos como vestuário, aparelhos eletrônicos, bens domésticos, esportes e fitness, ferramentas e melhoria de casa e suprimentos para animais de estimação.</v>
    <v>XNAS</v>
    <v>97.67</v>
    <v>23465</v>
    <v>46142.800847719533</v>
    <v>30</v>
    <v>7464577</v>
    <v>USD</v>
    <v>PDD Holdings Inc.</v>
    <v>PDD Holdings Inc.</v>
    <v>10.4057</v>
    <v>97.55</v>
    <v>100.76</v>
    <v>First Floor, 25 St Stephen's Green, DUBLIN, DUBLIN, D02 XF99 IE</v>
    <v>Software &amp; IT Services</v>
    <v>PDD</v>
    <v>Ações</v>
    <v>PDD Holdings Inc. (XNAS:PDD)</v>
    <v>3.09</v>
    <v>3.1636999999999998E-2</v>
    <v>4199008</v>
  </rv>
  <rv s="2">
    <v>31</v>
  </rv>
  <rv s="0">
    <v>http://en.wikipedia.org/wiki/Public_domain</v>
    <v>Public domain</v>
  </rv>
  <rv s="0">
    <v>http://en.wikipedia.org/wiki/Sony_Corporation_of_America</v>
    <v>Wikipedia</v>
  </rv>
  <rv s="5">
    <v>33</v>
    <v>34</v>
  </rv>
  <rv s="6">
    <v>21</v>
    <v>https://www.bing.com/th?id=AMMS_ae9f622f64f109cc937f5e2dec52dc40&amp;qlt=95</v>
    <v>35</v>
    <v>0</v>
    <v>https://www.bing.com/images/search?form=xlimg&amp;q=sony+corporation+of+america</v>
    <v>Image of Sony Group Corporation</v>
  </rv>
  <rv s="0">
    <v>https://www.bing.com/financeapi/forcetrigger?t=a238cw&amp;q=XNYS%3aSONY&amp;form=skydnc</v>
    <v>Learn more on Bing</v>
  </rv>
  <rv s="7">
    <v>pt-BR</v>
    <v>a238cw</v>
    <v>268435456</v>
    <v>1</v>
    <v>Da plataforma Refinitiv</v>
    <v>16</v>
    <v>17</v>
    <v>Sony Group Corporation (XNYS:SONY)</v>
    <v>19</v>
    <v>20</v>
    <v>Finance</v>
    <v>13</v>
    <v>30.34</v>
    <v>19.625</v>
    <v>XNYS</v>
    <v>6149811000</v>
    <v>20.184999999999999</v>
    <v>1946</v>
    <v>19.625</v>
    <v>0.93359999999999999</v>
    <v>New York Stock Exchange</v>
    <v>123949440705</v>
    <v>A Sony Group Corp é uma empresa sediada no Japão envolvida nos serviços de jogos e redes (G&amp;NS), música, filmes, tecnologia e serviços de entretenimento (ET&amp;S), soluções de imagem e deteção (I&amp;SS) e outras empresas. Possui sete segmentos de negócios. O segmento G&amp;NS está envolvido no negócio de serviços de rede, na fabricação e venda de consoles e software de videogame domésticos. O segmento Música inclui principalmente produção musical, publicação de música e plataformas de mídia de vídeo. O segmento de filmes inclui principalmente produção de filmes, produção de programas de televisão e negócios de redes de mídia. O campo de ET&amp;S inclui principalmente o negócio da televisão, do áudio, do negócio do vídeo, da imagem imóvel, do negócio da câmara de vídeo, negócios de smartphones e serviços relacionados à Internet. O segmento I&amp;SS inclui principalmente o negócio de sensores de imagem. O segmento Financeiro está envolvido no negócio de seguros e negócios bancários. O outro segmento consiste em atividades como o negócio de fabricação de discos e o negócio de mídia de gravação.</v>
    <v>XNYS</v>
    <v>19.78</v>
    <v>112300</v>
    <v>46142.800870705469</v>
    <v>36</v>
    <v>37</v>
    <v>4806087</v>
    <v>USD</v>
    <v>Sony Group Corporation</v>
    <v>Sony Group Corporation</v>
    <v>16.572099999999999</v>
    <v>19.75</v>
    <v>20.155000000000001</v>
    <v>1-7-1, Konan, MINATO-KU, TOKYO-TO, 108-0075 JP</v>
    <v>Computers, Phones &amp; Household Electronics</v>
    <v>SONY</v>
    <v>Ações</v>
    <v>Sony Group Corporation (XNYS:SONY)</v>
    <v>0.375</v>
    <v>1.8959E-2</v>
    <v>5075966</v>
  </rv>
  <rv s="2">
    <v>38</v>
  </rv>
  <rv s="0">
    <v>https://www.bing.com/financeapi/forcetrigger?t=a2x1xm&amp;q=OTCM%3aSSNLF&amp;form=skydnc</v>
    <v>Learn more on Bing</v>
  </rv>
  <rv s="4">
    <v>pt-BR</v>
    <v>a2x1xm</v>
    <v>268435456</v>
    <v>1</v>
    <v>Da plataforma Refinitiv</v>
    <v>10</v>
    <v>11</v>
    <v>Samsung Elec (OTCM:SSNLF)</v>
    <v>3</v>
    <v>22</v>
    <v>Finance</v>
    <v>15</v>
    <v>140</v>
    <v>42.33</v>
    <v>OTCM</v>
    <v>6648650000</v>
    <v>140</v>
    <v>1969</v>
    <v>140</v>
    <v>1.2270000000000001</v>
    <v>OTC Markets</v>
    <v>640975400000000</v>
    <v>Samsung Electronics Co Ltd is a Korea-based company primarily engaged in the manufacturing of electronic products. The Company operates its business through four segments. The Digital eXperience (DX) segment manufactures and sells products such as televisions (TVs), monitors, refrigerators, washing machines, air conditioners, smartphones, network systems, and personal computers. The Device Solutions (DS) segment produces and sells products such as dynamic random access memory (DRAM), NAND flash memory, and mobile application processors (APs). The Samsung Display (SDC) segment provides products such as organic light-emitting diode (OLED) panels for smartphones. The Harman segment develops, produces, and sells automotive products such as digital cockpits and car audio, as well as consumer audio products such as portable and soundbar speakers. The Company sells its products in both domestic and overseas markets.</v>
    <v>OTCM</v>
    <v>65.209999999999994</v>
    <v>98557</v>
    <v>46129.006944444445</v>
    <v>40</v>
    <v>20466690</v>
    <v>USD</v>
    <v>Samsung Elec</v>
    <v>Samsung Elec</v>
    <v>30.482199999999999</v>
    <v>140</v>
    <v>140</v>
    <v>Gyeong Gi Do  Su Won Si  Yeong Tong Gu  Sam Seong Ro 129 ( Mae Tan Dong)  Sam Seong Jeon Ja, GYEONGGI-DO, 16677 KR</v>
    <v>Computers, Phones &amp; Household Electronics</v>
    <v>SSNLF</v>
    <v>Ações</v>
    <v>Samsung Elec (OTCM:SSNLF)</v>
    <v>74.790000000000006</v>
    <v>1.1469100000000001</v>
    <v>1</v>
  </rv>
  <rv s="2">
    <v>41</v>
  </rv>
  <rv s="8">
    <v>pt-BR</v>
    <v>ccm4hw</v>
    <v>268435456</v>
    <v>1</v>
    <v>Da plataforma Refinitiv</v>
    <v>23</v>
    <v>24</v>
    <v>iFAST USD Enhanced Liquidity USD A</v>
    <v>25</v>
    <v>26</v>
    <v>Finance</v>
    <v>27</v>
    <v>350770000</v>
    <v>0</v>
    <v>1.1384000000000001</v>
    <v>46141</v>
    <v>46142.62646611016</v>
    <v>USD</v>
    <v>iFAST USD Enhanced Liquidity USD A</v>
    <v>SG</v>
    <v>1.1385000000000001</v>
    <v>3.8683000000000002E-2</v>
    <v>3.0839999999999999E-3</v>
    <v>6.1519999999999999E-4</v>
    <v>0</v>
    <v>8.5040000000000011E-3</v>
    <v>0</v>
    <v>1.1281000000000001E-2</v>
    <v>4.5000000000000005E-3</v>
    <v>Fundo Mútuo</v>
    <v>iFAST USD Enhanced Liquidity USD A</v>
    <v>1E-4</v>
    <v>8.7839999999999999E-5</v>
  </rv>
  <rv s="2">
    <v>43</v>
  </rv>
  <rv s="0">
    <v>https://www.bing.com/financeapi/forcetrigger?t=aplx2w&amp;q=BVMF%3aARZZ3&amp;form=skydnc</v>
    <v>Learn more on Bing</v>
  </rv>
  <rv s="1">
    <v>pt-BR</v>
    <v>aplx2w</v>
    <v>268435456</v>
    <v>1</v>
    <v>Da plataforma Refinitiv</v>
    <v>0</v>
    <v>1</v>
    <v>Azzas 2154 S.A. (BVMF:AZZA3)</v>
    <v>3</v>
    <v>4</v>
    <v>Finance</v>
    <v>5</v>
    <v>41.49</v>
    <v>20.38</v>
    <v>BVMF</v>
    <v>206489800</v>
    <v>21.9</v>
    <v>1972</v>
    <v>21.1</v>
    <v>1.3331</v>
    <v>B3 - Brazil Stock Exchange</v>
    <v>4466374374</v>
    <v>A Azzas 2154 SA, anteriormente Arezzo Industria e Comercio SA é uma Varejista de calçados, bolsas e acessórios para mulheres sediada no Brasil. O portfólio de marcas da empresa inclui a Arezzo, uma Varejista de calçados; a Blizza, uma marca focada em flipflops, sandálias, sliders e bolsas; a Bambini, a marca de calçados e a marca de calçados da empresa. a linha infantil da Empresa, com cores brilhantes e sapatos confortáveis, bem como a MyShoes, cujo portfólio inclui calçados, bolsas e conteúdo de moda. Cada uma das marcas Arezzo Industria e Comercio SA tem um público específico e produtos específicos, operando através de uma variedade de canais de distribuição: Lojas próprias da empresa, franquias, lojas multimarcas e e-commerce. A Companhia possui diversas subsidiárias, incluindo Arzz International Inc, Tiferet Comercio de Roupas Ltda e Guarana Brasil Difusao de Moda Ltda.</v>
    <v>BVMF</v>
    <v>21.15</v>
    <v>9480</v>
    <v>46142.790462962963</v>
    <v>45</v>
    <v>3813430</v>
    <v>BRL</v>
    <v>Azzas 2154 S.A.</v>
    <v>Azzas 2154 S.A.</v>
    <v>21.15</v>
    <v>21.63</v>
    <v>Rua Fernandes Tourinho n 147 sala 402, Bairro Savassi, BELO HORIZONTE, MINAS GERAIS, 30.112-000 BR</v>
    <v>Specialty Retailers</v>
    <v>AZZA3</v>
    <v>Ações</v>
    <v>Azzas 2154 S.A. (BVMF:AZZA3)</v>
    <v>0.48</v>
    <v>2.2695E-2</v>
    <v>2232200</v>
  </rv>
  <rv s="2">
    <v>46</v>
  </rv>
  <rv s="0">
    <v>https://www.bing.com/financeapi/forcetrigger?t=bsfxec&amp;q=BVMF%3aVIVA3&amp;form=skydnc</v>
    <v>Learn more on Bing</v>
  </rv>
  <rv s="1">
    <v>pt-BR</v>
    <v>bsfxec</v>
    <v>268435456</v>
    <v>1</v>
    <v>Da plataforma Refinitiv</v>
    <v>0</v>
    <v>1</v>
    <v>Vivara Participações S.A. (BVMF:VIVA3)</v>
    <v>3</v>
    <v>4</v>
    <v>Finance</v>
    <v>5</v>
    <v>35.89</v>
    <v>20.13</v>
    <v>BVMF</v>
    <v>236197800</v>
    <v>25.84</v>
    <v>2019</v>
    <v>24.97</v>
    <v>1.3065</v>
    <v>B3 - Brazil Stock Exchange</v>
    <v>6082093350</v>
    <v>A Vivara Participações SA é uma holding sediada no Brasil que atua em vários estados do Brasil, através de inúmeras subsidiárias. No entanto, as operações da Companhia são centralizadas principalmente no estado de São Paulo. A empresa desenvolveu um portfólio de marcas, incluindo Vivara, Life by Vivara, Vivara Watches, Vivara Fragrâncias, Vivara, Vivara, e Vivara Acessórios. Essas marcas se concentram em produtos como joias de ouro, joias de prata, relógios e acessórios. A empresa possui um modelo de negócios verticalmente integrado, desde a criação e design até a produção, estratégia de marketing, distribuição (omni-channel) e marketing. A Companhia possui um segmento operacional chamado varejo, composto por vendas de produtos através de suas lojas físicas e plataformas online.</v>
    <v>BVMF</v>
    <v>24.95</v>
    <v>6216</v>
    <v>46142.790473853907</v>
    <v>48</v>
    <v>1990260</v>
    <v>BRL</v>
    <v>Vivara Participações S.A.</v>
    <v>Vivara Participações S.A.</v>
    <v>25.16</v>
    <v>25.75</v>
    <v>Rua Arquiteto Olavo Redig de Campos, 105 -15 andar, Chacara Santo Antonio, Sao Paulo, SAO PAULO, 04.709-000 BR</v>
    <v>Specialty Retailers</v>
    <v>VIVA3</v>
    <v>Ações</v>
    <v>Vivara Participações S.A. (BVMF:VIVA3)</v>
    <v>0.8</v>
    <v>3.2064000000000002E-2</v>
    <v>1590000</v>
  </rv>
  <rv s="2">
    <v>49</v>
  </rv>
  <rv s="0">
    <v>https://www.bing.com/financeapi/forcetrigger?t=apmtf2&amp;q=BVMF%3aSIMH3&amp;form=skydnc</v>
    <v>Learn more on Bing</v>
  </rv>
  <rv s="1">
    <v>pt-BR</v>
    <v>apmtf2</v>
    <v>268435456</v>
    <v>1</v>
    <v>Da plataforma Refinitiv</v>
    <v>0</v>
    <v>1</v>
    <v>SIMPAR S.A. (BVMF:SIMH3)</v>
    <v>3</v>
    <v>4</v>
    <v>Finance</v>
    <v>5</v>
    <v>14.62</v>
    <v>7.98</v>
    <v>BVMF</v>
    <v>604733700</v>
    <v>11.21</v>
    <v>2005</v>
    <v>10.92</v>
    <v>1.9523999999999999</v>
    <v>B3 - Brazil Stock Exchange</v>
    <v>6754875429</v>
    <v>A Simpar SA é uma provedora de serviços de investimento financeiro com sede no Brasil. Atua como holding do Grupo JSL. Por meio de suas controladas, a Companhia presta serviços divididos em sete segmentos: JSL Logística, voltada para os setores de transporte e logística; Movida, que atua no setor de aluguel de veículos leves e gestão de frotas; CS Brasil, que presta serviços a órgãos públicos e empresas, incluindo gestão e terceirização de frotas, transporte urbano de passageiros e serviços de limpeza urbana; Concessionarias Originais, que tem por objeto a comercialização de automóveis e peças Volkswagen, FIAT e Ford; BBC, oferecendo serviços financeiros, como leasing, emissão e administração de cartões de crédito e processamento de pagamentos eletrônicos; e Holding e outras, compostas principalmente por entidades sediadas no exterior, utilizadas como veículos de captação de recursos.</v>
    <v>BVMF</v>
    <v>10.85</v>
    <v>56000</v>
    <v>46142.790462962963</v>
    <v>51</v>
    <v>4666830</v>
    <v>BRL</v>
    <v>SIMPAR S.A.</v>
    <v>SIMPAR S.A.</v>
    <v>11.12</v>
    <v>11.17</v>
    <v>Rua Doutor Renato Paes de Barros, 1017, 10 andar, cj. 101, Itaim Bibi, SAO PAULO, SAO PAULO, 04.530-001 BR</v>
    <v>Freight &amp; Logistics Services</v>
    <v>SIMH3</v>
    <v>Ações</v>
    <v>SIMPAR S.A. (BVMF:SIMH3)</v>
    <v>0.32</v>
    <v>2.9493000000000002E-2</v>
    <v>2173000</v>
  </rv>
  <rv s="2">
    <v>52</v>
  </rv>
  <rv s="0">
    <v>https://www.bing.com/financeapi/forcetrigger?t=bxgdk2&amp;q=BVMF%3aBMOB3&amp;form=skydnc</v>
    <v>Learn more on Bing</v>
  </rv>
  <rv s="9">
    <v>pt-BR</v>
    <v>bxgdk2</v>
    <v>268435456</v>
    <v>1</v>
    <v>Da plataforma Refinitiv</v>
    <v>28</v>
    <v>29</v>
    <v>BEMOBI MOBILE TECH S.A. (BVMF:BMOB3)</v>
    <v>3</v>
    <v>30</v>
    <v>Finance</v>
    <v>5</v>
    <v>28.62</v>
    <v>16.649999999999999</v>
    <v>BVMF</v>
    <v>85608390</v>
    <v>26.29</v>
    <v>2007</v>
    <v>25.73</v>
    <v>1.2831999999999999</v>
    <v>B3 - Brazil Stock Exchange</v>
    <v>2236091146</v>
    <v>A Bemobi Mobile Tech SA é uma empresa brasileira envolvida na mídia móvel e na indústria de entretenimento. A empresa está focada na distribuição e monetização de aplicativos móveis, jogos e serviços digitais. A Companhia atua no modelo Business-To-Business-To-Consumer (B2B2C), em parceria com operadoras de telefonia móvel. Os serviços da Empresa são divididos em três unidades: Aplicativos e Jogos, Microfinanças e Comunicações. A unidade de Aplicativos e Jogos está focada em Apps Club baseados em assinatura, que oferece aplicativos móveis e jogos fornecidos pelos parceiros de conteúdo da Empresa, incluindo desenvolvedores, editores e distribuidores. A unidade de Microfinanças oferece serviços para usuários de celulares pré-pagos, incluindo recarga por cartão de crédito ou débito e pacotes de Airtime e Data Advance a pagar na próxima recarga, entre outros. A unidade de Comunicações oferece soluções relacionadas a chamadas de voz, como correio de voz e transcrição de áudio para texto.</v>
    <v>BVMF</v>
    <v>25.54</v>
    <v>46142.790277777778</v>
    <v>54</v>
    <v>458290</v>
    <v>BRL</v>
    <v>BEMOBI MOBILE TECH S.A.</v>
    <v>BEMOBI MOBILE TECH S.A.</v>
    <v>25.79</v>
    <v>26.12</v>
    <v>Av. Barao de Tefe, n. 27 12 Andar, Saude, RIO DE JANEIRO, RIO DE JANEIRO, 20.220-460 BR</v>
    <v>Software &amp; IT Services</v>
    <v>BMOB3</v>
    <v>Ações</v>
    <v>BEMOBI MOBILE TECH S.A. (BVMF:BMOB3)</v>
    <v>0.57999999999999996</v>
    <v>2.2709E-2</v>
    <v>152000</v>
  </rv>
  <rv s="2">
    <v>55</v>
  </rv>
  <rv s="0">
    <v>https://www.bing.com/financeapi/forcetrigger?t=bvm1h7&amp;q=BVMF%3aCURY3&amp;form=skydnc</v>
    <v>Learn more on Bing</v>
  </rv>
  <rv s="9">
    <v>pt-BR</v>
    <v>bvm1h7</v>
    <v>268435456</v>
    <v>1</v>
    <v>Da plataforma Refinitiv</v>
    <v>28</v>
    <v>29</v>
    <v>CURY CONSTRUTORA E INCORPORADORA S.A. (BVMF:CURY3)</v>
    <v>3</v>
    <v>30</v>
    <v>Finance</v>
    <v>5</v>
    <v>41.76</v>
    <v>23.41</v>
    <v>BVMF</v>
    <v>308047600</v>
    <v>30.09</v>
    <v>2007</v>
    <v>29.24</v>
    <v>1.2887999999999999</v>
    <v>B3 - Brazil Stock Exchange</v>
    <v>9253749904</v>
    <v>A Cury Construtora e Incorporadora SA é uma empresa brasileira que atua no segmento de incorporação imobiliária. A Empresa tem por objeto a incorporação, construção e comercialização de edifícios residenciais nas regiões metropolitanas dos estados de São Paulo e Rio de Janeiro. A Firma desenvolve apartamentos no setor de habitação de baixa renda, principalmente para o programa brasileiro de habitação pública &lt;Minha Casa, Minha Vida&gt; (MCMV). A Companhia opera por meio de diversas subsidiárias, como CCISA08 Consultoria Imobiliária Ltda (Cury Vendas) e CCISA15 Instaladora Ltda (Cury Install), entre outras.</v>
    <v>BVMF</v>
    <v>29.32</v>
    <v>46142.790405092594</v>
    <v>57</v>
    <v>3738880</v>
    <v>BRL</v>
    <v>CURY CONSTRUTORA E INCORPORADORA S.A.</v>
    <v>CURY CONSTRUTORA E INCORPORADORA S.A.</v>
    <v>29.59</v>
    <v>30.04</v>
    <v>Rua Funchal, n 411, 13 andar Conjunto 132-D, Vila Olimpia, Sao Paulo, SAO PAULO, 04.551-060 BR</v>
    <v>Homebuilding &amp; Construction Supplies</v>
    <v>CURY3</v>
    <v>Ações</v>
    <v>CURY CONSTRUTORA E INCORPORADORA S.A. (BVMF:CURY3)</v>
    <v>0.72</v>
    <v>2.4557000000000002E-2</v>
    <v>3314700</v>
  </rv>
  <rv s="2">
    <v>58</v>
  </rv>
  <rv s="0">
    <v>https://www.bing.com/financeapi/forcetrigger?t=apmeyc&amp;q=BVMF%3aDIRR3&amp;form=skydnc</v>
    <v>Learn more on Bing</v>
  </rv>
  <rv s="1">
    <v>pt-BR</v>
    <v>apmeyc</v>
    <v>268435456</v>
    <v>1</v>
    <v>Da plataforma Refinitiv</v>
    <v>0</v>
    <v>1</v>
    <v>DIRECIONAL ENGENHARIA S.A. (BVMF:DIRR3)</v>
    <v>3</v>
    <v>4</v>
    <v>Finance</v>
    <v>5</v>
    <v>17.260000000000002</v>
    <v>9.94</v>
    <v>BVMF</v>
    <v>520500000</v>
    <v>13.01</v>
    <v>1981</v>
    <v>12.7</v>
    <v>1.1017999999999999</v>
    <v>B3 - Brazil Stock Exchange</v>
    <v>6750885000</v>
    <v>A Direcional Engenharia SA é uma empresa brasileira que atua no setor imobiliário residencial. A empresa se concentra no desenvolvimento de projetos acessíveis e de médio alcance. A Riva Incorporated, subsidiária da empresa, é responsável pela execução de projetos de médio porte. A Companhia opera por meio de subsidiárias, joint ventures e afiliadas, concentrando suas operações principalmente nas regiões Norte, Nordeste, Centro-Oeste e Sudeste. A Companhia realiza suas atividades de desenvolvimento e construção por meio de Sociedades Limitadas (LLCs) e Entidades de Propósito Específico (SPEs), no curso normal dos negócios, para facilitar a formação de parcerias, permitir o acompanhamento individualizado dos projetos, facilitar a obtenção de financiamento da produção e garantir o controle financeiro e contábil.</v>
    <v>BVMF</v>
    <v>12.76</v>
    <v>745</v>
    <v>46142.790468332816</v>
    <v>60</v>
    <v>7340830</v>
    <v>BRL</v>
    <v>DIRECIONAL ENGENHARIA S.A.</v>
    <v>DIRECIONAL ENGENHARIA S.A.</v>
    <v>13.01</v>
    <v>12.97</v>
    <v>Rua dos Otoni, 177, Santa Efigenia, BELO HORIZONTE, MINAS GERAIS, 30.150-270 BR</v>
    <v>Real Estate Operations</v>
    <v>DIRR3</v>
    <v>Ações</v>
    <v>DIRECIONAL ENGENHARIA S.A. (BVMF:DIRR3)</v>
    <v>0.21</v>
    <v>1.6458E-2</v>
    <v>3037700</v>
  </rv>
  <rv s="2">
    <v>61</v>
  </rv>
  <rv s="0">
    <v>https://www.bing.com/financeapi/forcetrigger?t=apm5qh&amp;q=BVMF%3aAMER3&amp;form=skydnc</v>
    <v>Learn more on Bing</v>
  </rv>
  <rv s="1">
    <v>pt-BR</v>
    <v>apm5qh</v>
    <v>268435456</v>
    <v>1</v>
    <v>Da plataforma Refinitiv</v>
    <v>0</v>
    <v>1</v>
    <v>Americanas S.A. – Em Recuperação Judicial (BVMF:AMER3)</v>
    <v>3</v>
    <v>4</v>
    <v>Finance</v>
    <v>5</v>
    <v>8.82</v>
    <v>4.5999999999999996</v>
    <v>BVMF</v>
    <v>200245100</v>
    <v>5.94</v>
    <v>2006</v>
    <v>5.72</v>
    <v>1.1269</v>
    <v>B3 - Brazil Stock Exchange</v>
    <v>1177441188</v>
    <v>Americana SA - Em Recuperacao Judicial, anteriormente B2W Companhia Digital é uma empresa sediada no Brasil. As atividades da Companhia são realizadas através de cinco segmentos operacionais: Plataforma Física (lojas da marca Americanas), Plataforma Digital (Americanas.com), Varejo Premium (Imaginarium, Mind, Puket e LoveBrands), serviços financeiros (AME Digital) e Alimentos Frescos, especializada em frutas, legumes e verduras (Hortifruti Natural da Terra). Além de vender produtos, a Americanas também oferece uma série de serviços financeiros, publicitários e logísticos para seus clientes, vendedores, fornecedores, franqueados e comerciantes. Através da AME Digital, que é a plataforma financeira da Americanas, a Empresa oferece serviços como conta digital, pagamento de contas, soluções de crédito.</v>
    <v>BVMF</v>
    <v>5.69</v>
    <v>30000</v>
    <v>46142.790358796294</v>
    <v>63</v>
    <v>5435990</v>
    <v>BRL</v>
    <v>Americanas S.A. – Em Recuperação Judicial</v>
    <v>Americanas S.A. – Em Recuperação Judicial</v>
    <v>5.72</v>
    <v>5.88</v>
    <v>Rua Sacadura Cabral, 102,Parte, Saude, RIO DE JANEIRO, RIO DE JANEIRO, 20.081-902 BR</v>
    <v>Diversified Retail</v>
    <v>AMER3</v>
    <v>Ações</v>
    <v>Americanas S.A. – Em Recuperação Judicial (BVMF:AMER3)</v>
    <v>0.19</v>
    <v>3.3391999999999998E-2</v>
    <v>1554700</v>
  </rv>
  <rv s="2">
    <v>64</v>
  </rv>
  <rv s="0">
    <v>https://www.bing.com/financeapi/forcetrigger?t=azs2pr&amp;q=BVMF%3aHAPV3&amp;form=skydnc</v>
    <v>Learn more on Bing</v>
  </rv>
  <rv s="9">
    <v>pt-BR</v>
    <v>azs2pr</v>
    <v>268435456</v>
    <v>1</v>
    <v>Da plataforma Refinitiv</v>
    <v>28</v>
    <v>29</v>
    <v>Hapvida Participações e Investimentos S/A (BVMF:HAPV3)</v>
    <v>3</v>
    <v>30</v>
    <v>Finance</v>
    <v>5</v>
    <v>44.85</v>
    <v>7</v>
    <v>BVMF</v>
    <v>502630900</v>
    <v>12.84</v>
    <v>2001</v>
    <v>11.51</v>
    <v>1.4296</v>
    <v>B3 - Brazil Stock Exchange</v>
    <v>6313044104</v>
    <v>Hapvida Participacoes e Investimentos SA (Hapvida) é uma holding brasileira de saúde. A Companhia e suas controladas têm como atividades principais a cobertura de custos de assistência médica, hospitalar e odontológica de seus associados, a prestação de serviços médicos, hospitalares e odontológicos e exames e diagnósticos por imagem. A Hapvida tem diferentes instalações de saúde, como hospitais, clínicas ou unidades de diagnóstico por imagem. A Companhia opera no Nordeste do Brasil, em mais de 10 estados, como Alagoas, Amazonas, Bahia, Pernambuco, Rio Grande do Norte, Sergipe, entre outros.</v>
    <v>BVMF</v>
    <v>11.75</v>
    <v>46142.790469594533</v>
    <v>66</v>
    <v>10239660</v>
    <v>BRL</v>
    <v>Hapvida Participações e Investimentos S/A</v>
    <v>Hapvida Participações e Investimentos S/A</v>
    <v>11.84</v>
    <v>12.56</v>
    <v>Avenida Heraclito Graca n 406, Centro, FORTALEZA, CEARA, 60.140-060 BR</v>
    <v>Healthcare Providers &amp; Services</v>
    <v>HAPV3</v>
    <v>Ações</v>
    <v>Hapvida Participações e Investimentos S/A (BVMF:HAPV3)</v>
    <v>0.81</v>
    <v>6.8935999999999997E-2</v>
    <v>8583600</v>
  </rv>
  <rv s="2">
    <v>67</v>
  </rv>
  <rv s="0">
    <v>https://www.bing.com/financeapi/forcetrigger?t=apnbbh&amp;q=BVMF%3aSBSP3&amp;form=skydnc</v>
    <v>Learn more on Bing</v>
  </rv>
  <rv s="1">
    <v>pt-BR</v>
    <v>apnbbh</v>
    <v>268435456</v>
    <v>1</v>
    <v>Da plataforma Refinitiv</v>
    <v>0</v>
    <v>1</v>
    <v>Companhia de Saneamento Básico do Estado de São Paulo - SABESP (BVMF:SBSP3)</v>
    <v>3</v>
    <v>4</v>
    <v>Finance</v>
    <v>5</v>
    <v>35.32</v>
    <v>20.010000000000002</v>
    <v>BVMF</v>
    <v>3524534000</v>
    <v>33.619999999999997</v>
    <v>1973</v>
    <v>33.020000000000003</v>
    <v>0.90139999999999998</v>
    <v>B3 - Brazil Stock Exchange</v>
    <v>117120264819</v>
    <v>Companhia de Saneamento Basico do Estado de São Paulo - SABESP é uma provedora de serviços de água e esgoto. A Companhia presta serviços de água e esgoto a uma gama de clientes residenciais, comerciais, industriais e governamentais em mais de 375 municípios do estado de São Paulo, incluindo a cidade de São Paulo. Os segmentos da Companhia incluem água e esgoto. As atividades da Companhia compreendem abastecimento de água, serviços de esgoto sanitário, serviços de gestão e drenagem de águas pluviais urbanas, serviços de limpeza urbana, serviços de gestão de resíduos sólidos e atividades afins, incluindo o planejamento, operação, manutenção e comercialização de energia, e a comercialização de serviços, produtos, benefícios e direitos que direta ou indiretamente advêm de seus ativos, operações e atividades.</v>
    <v>BVMF</v>
    <v>32.99</v>
    <v>9204</v>
    <v>46142.790473691406</v>
    <v>69</v>
    <v>4719730</v>
    <v>BRL</v>
    <v>Companhia de Saneamento Básico do Estado de São Paulo - SABESP</v>
    <v>Companhia de Saneamento Básico do Estado de São Paulo - SABESP</v>
    <v>33.22</v>
    <v>33.229999999999997</v>
    <v>Rua Costa Carvalho, n 300 Diretoria F, Pinheiros, SAO PAULO, SAO PAULO, 05.429-900 BR</v>
    <v>Water Utilities</v>
    <v>SBSP3</v>
    <v>Ações</v>
    <v>Companhia de Saneamento Básico do Estado de São Paulo - SABESP (BVMF:SBSP3)</v>
    <v>0.24</v>
    <v>7.2750000000000002E-3</v>
    <v>5313600</v>
  </rv>
  <rv s="2">
    <v>70</v>
  </rv>
  <rv s="0">
    <v>https://www.bing.com/financeapi/forcetrigger?t=apms77&amp;q=BVMF%3aITSA4&amp;form=skydnc</v>
    <v>Learn more on Bing</v>
  </rv>
  <rv s="1">
    <v>pt-BR</v>
    <v>apms77</v>
    <v>268435456</v>
    <v>1</v>
    <v>Da plataforma Refinitiv</v>
    <v>0</v>
    <v>1</v>
    <v>ITAÚSA S.A. (BVMF:ITSA4)</v>
    <v>3</v>
    <v>4</v>
    <v>Finance</v>
    <v>5</v>
    <v>15.24</v>
    <v>9.0299999999999994</v>
    <v>BVMF</v>
    <v>11213690000</v>
    <v>13.93</v>
    <v>1966</v>
    <v>13.77</v>
    <v>1.1941999999999999</v>
    <v>B3 - Brazil Stock Exchange</v>
    <v>155646017200</v>
    <v>A Itausa SA, anteriormente a Itausa Investimentos, é uma holding de investimentos sediada no Brasil que atua através de suas subsidiárias. As atividades do Grupo estão divididas em dois setores: Financeiro e não financeiro. O setor financeiro inclui o Itau Unibanco, que fornece uma ampla gama de serviços e produtos bancários e não bancários a uma base de clientes diversificada, em três segmentos de negócios: Varejo, Negócios por Atacado e Atividades com o Mercado e Corporação. O setor não financeiro inclui a Aegea, prestadora de serviços de saneamento básico de utilidade pública, bem como a Dexco, que atua em duas áreas de negócio: Madeira e Acabamentos de Construção. A Itausa SA opera em mais de 50 países.</v>
    <v>BVMF</v>
    <v>13.66</v>
    <v>127000</v>
    <v>46142.79046081016</v>
    <v>72</v>
    <v>29371320</v>
    <v>BRL</v>
    <v>ITAÚSA S.A.</v>
    <v>ITAÚSA S.A.</v>
    <v>13.79</v>
    <v>13.88</v>
    <v>Avenida Paulista, 1938, 5 andar, Bela Vista, SAO PAULO, SAO PAULO, 01.310-200 BR</v>
    <v>Banking Services</v>
    <v>ITSA4</v>
    <v>Ações</v>
    <v>ITAÚSA S.A. (BVMF:ITSA4)</v>
    <v>0.22</v>
    <v>1.6105000000000001E-2</v>
    <v>16750700</v>
  </rv>
  <rv s="2">
    <v>73</v>
  </rv>
  <rv s="0">
    <v>https://www.bing.com/financeapi/forcetrigger?t=aplym7&amp;q=BVMF%3aBBDC4&amp;form=skydnc</v>
    <v>Learn more on Bing</v>
  </rv>
  <rv s="1">
    <v>pt-BR</v>
    <v>aplym7</v>
    <v>268435456</v>
    <v>1</v>
    <v>Da plataforma Refinitiv</v>
    <v>0</v>
    <v>1</v>
    <v>Banco Bradesco S.A. (BVMF:BBDC4)</v>
    <v>3</v>
    <v>4</v>
    <v>Finance</v>
    <v>5</v>
    <v>21.74</v>
    <v>11.92</v>
    <v>BVMF</v>
    <v>10592010000</v>
    <v>19.45</v>
    <v>1943</v>
    <v>19.21</v>
    <v>1.4835</v>
    <v>B3 - Brazil Stock Exchange</v>
    <v>205696834200</v>
    <v>O Banco Bradesco SA é uma empresa brasileira que atua no setor de serviços bancários. A Companhia é um banco de múltiplos serviços, atuando principalmente em dois segmentos: Financeiro e de seguros. O segmento financeiro engloba diversas áreas do setor bancário, atendendo clientes individuais e corporativos, atuando como banco de investimentos em operações bancárias nacionais e internacionais, administração de fundos de investimento, administração de consórcios e gestão de ativos. O segmento de seguro inclui seguro de vida, planos de pensão complementares, saúde, acidentes e seguro de propriedade. A Empresa presta serviços a outras entidades que incluem gestão de ativos e serviços de tesouraria, transações cambiais, finanças corporativas e serviços bancários de investimento, operações de hedging e operações de financiamento, incluindo financiamento de capital de giro, leasing e crédito parcelado.</v>
    <v>BVMF</v>
    <v>19.11</v>
    <v>82095</v>
    <v>46142.790502256248</v>
    <v>75</v>
    <v>29456500</v>
    <v>BRL</v>
    <v>Banco Bradesco S.A.</v>
    <v>Banco Bradesco S.A.</v>
    <v>19.239999999999998</v>
    <v>19.420000000000002</v>
    <v>Nucleo Cidade de Deus s/n, Vila Yara, OSASCO, SAO PAULO, 06.029-900 BR</v>
    <v>Banking Services</v>
    <v>BBDC4</v>
    <v>Ações</v>
    <v>Banco Bradesco S.A. (BVMF:BBDC4)</v>
    <v>0.31</v>
    <v>1.6222E-2</v>
    <v>9944700</v>
  </rv>
  <rv s="2">
    <v>76</v>
  </rv>
  <rv s="0">
    <v>https://www.bing.com/financeapi/forcetrigger?t=apm327&amp;q=BVMF%3aBPAC11&amp;form=skydnc</v>
    <v>Learn more on Bing</v>
  </rv>
  <rv s="3">
    <v>pt-BR</v>
    <v>apm327</v>
    <v>268435456</v>
    <v>1</v>
    <v>Da plataforma Refinitiv</v>
    <v>6</v>
    <v>7</v>
    <v>BCO BTG PACTUAL UNT (BVMF:BPAC11)</v>
    <v>8</v>
    <v>9</v>
    <v>Finance</v>
    <v>5</v>
    <v>65.5</v>
    <v>35.979999999999997</v>
    <v>BVMF</v>
    <v>59.69</v>
    <v>58.85</v>
    <v>B3 - Brazil Stock Exchange</v>
    <v>58.57</v>
    <v>46142.79047453704</v>
    <v>78</v>
    <v>BRL</v>
    <v>BCO BTG PACTUAL UNT</v>
    <v>59.26</v>
    <v>59.51</v>
    <v>BPAC11</v>
    <v>Fundos mais negociados</v>
    <v>BCO BTG PACTUAL UNT (BVMF:BPAC11)</v>
    <v>0.94</v>
    <v>1.6049000000000001E-2</v>
    <v>3578600</v>
  </rv>
  <rv s="2">
    <v>79</v>
  </rv>
  <rv s="0">
    <v>https://www.bing.com/financeapi/forcetrigger?t=a1yv52&amp;q=XNAS%3aNVDA&amp;form=skydnc</v>
    <v>Learn more on Bing</v>
  </rv>
  <rv s="4">
    <v>pt-BR</v>
    <v>a1yv52</v>
    <v>268435456</v>
    <v>1</v>
    <v>Da plataforma Refinitiv</v>
    <v>10</v>
    <v>11</v>
    <v>NVIDIA CORPORATION (XNAS:NVDA)</v>
    <v>3</v>
    <v>12</v>
    <v>Finance</v>
    <v>13</v>
    <v>216.82499999999999</v>
    <v>104.08</v>
    <v>XNAS</v>
    <v>24300000000</v>
    <v>210.3</v>
    <v>1998</v>
    <v>198.7</v>
    <v>2.3108</v>
    <v>Nasdaq Stock Market</v>
    <v>4887702000000</v>
    <v>A NVIDIA Corporation é uma empresa de infraestrutura de computação de pilha completa. A empresa está envolvida em computação acelerada para ajudar a resolver os problemas computacionais desafiadores. Os segmentos da empresa incluem computação e rede e gráficos. O segmento Compute &amp; Networking inclui suas plataformas de computação acelerada de data center e soluções e software de inteligência artificial (IA); rede; plataformas automotivas e soluções de veículos autônomos e elétricos; Jetson para robótica e outras plataformas embarcadas e serviços de computação em nuvem DGX. O segmento de gráficos inclui GPUs GeForce para jogos e PCs, o serviço de streaming de jogos GEFORCE NOW e infraestrutura relacionada, e soluções para plataformas de jogos; GPUs Quadro/NVIDIA RTX para gráficos de estações de trabalho corporativas; software de GPU virtual para computação visual e virtual baseada em nuvem; plataformas automotivas para sistemas de infotainment e software Omniverse Enterprise para construção e operação de IA industrial e aplicações digitais gêmeas.</v>
    <v>XNAS</v>
    <v>209.25</v>
    <v>42000</v>
    <v>46142.800918622655</v>
    <v>81</v>
    <v>154443392</v>
    <v>USD</v>
    <v>NVIDIA CORPORATION</v>
    <v>NVIDIA CORPORATION</v>
    <v>41.033900000000003</v>
    <v>209.87</v>
    <v>201.14</v>
    <v>2788 San Tomas Expressway, SANTA CLARA, CA, 95051 US</v>
    <v>Semiconductors &amp; Semiconductor Equipment</v>
    <v>NVDA</v>
    <v>Ações</v>
    <v>NVIDIA CORPORATION (XNAS:NVDA)</v>
    <v>-8.11</v>
    <v>-3.8757E-2</v>
    <v>160437094</v>
  </rv>
  <rv s="2">
    <v>82</v>
  </rv>
  <rv s="0">
    <v>https://www.bing.com/financeapi/forcetrigger?t=a24kar&amp;q=XNAS%3aTSLA&amp;form=skydnc</v>
    <v>Learn more on Bing</v>
  </rv>
  <rv s="4">
    <v>pt-BR</v>
    <v>a24kar</v>
    <v>268435456</v>
    <v>1</v>
    <v>Da plataforma Refinitiv</v>
    <v>10</v>
    <v>11</v>
    <v>TESLA, INC. (XNAS:TSLA)</v>
    <v>3</v>
    <v>12</v>
    <v>Finance</v>
    <v>13</v>
    <v>498.83</v>
    <v>270.77999999999997</v>
    <v>XNAS</v>
    <v>3755724000</v>
    <v>384.75</v>
    <v>2024</v>
    <v>368.17</v>
    <v>1.8055000000000001</v>
    <v>Nasdaq Stock Market</v>
    <v>1440395268480</v>
    <v>A Tesla, Inc. Projeta, desenvolve, fabrica, vende e aluga veículos totalmente elétricos de alto desempenho e sistemas de geração e armazenamento de energia, e oferece serviços relacionados aos seus produtos. Seus segmentos incluem automotivo, geração e armazenamento de energia. O segmento automotivo inclui o design, desenvolvimento, fabricação, vendas e locação de veículos totalmente elétricos de alto desempenho e vendas de créditos regulatórios automotivos. Também inclui vendas de veículos usados, serviços de manutenção e colisões sem garantia, vendas de peças, supercobrança paga, receita de serviços de seguros e vendas de mercadorias de varejo. O segmento de geração e armazenamento de energia inclui o projeto, fabricação, instalação, vendas e locação de produtos de geração de energia solar e armazenamento de energia e serviços relacionados e vendas de incentivos de sistemas de energia solar. Seus veículos de consumo incluem o Model 3, Y, S, X e Cybertruck. Seus produtos de armazenamento de energia de bateria de iões de lítio incluem Powerwall e Megapack.</v>
    <v>XNAS</v>
    <v>372.8</v>
    <v>134785</v>
    <v>46142.800911793747</v>
    <v>84</v>
    <v>67256379</v>
    <v>USD</v>
    <v>TESLA, INC.</v>
    <v>TESLA, INC.</v>
    <v>350.53469999999999</v>
    <v>372.3</v>
    <v>383.52</v>
    <v>1 Tesla Road, AUSTIN, TX, 78725 US</v>
    <v>Automobiles &amp; Auto Parts</v>
    <v>TSLA</v>
    <v>Ações</v>
    <v>TESLA, INC. (XNAS:TSLA)</v>
    <v>10.72</v>
    <v>2.8755000000000003E-2</v>
    <v>39386761</v>
  </rv>
  <rv s="2">
    <v>85</v>
  </rv>
  <rv s="0">
    <v>https://www.bing.com/financeapi/forcetrigger?t=a24mnm&amp;q=XNAS%3aTTWO&amp;form=skydnc</v>
    <v>Learn more on Bing</v>
  </rv>
  <rv s="4">
    <v>pt-BR</v>
    <v>a24mnm</v>
    <v>268435456</v>
    <v>1</v>
    <v>Da plataforma Refinitiv</v>
    <v>10</v>
    <v>11</v>
    <v>TAKE-TWO INTERACTIVE SOFTWARE, INC. (XNAS:TTWO)</v>
    <v>3</v>
    <v>12</v>
    <v>Finance</v>
    <v>13</v>
    <v>264.78500000000003</v>
    <v>187.63</v>
    <v>XNAS</v>
    <v>185175500</v>
    <v>215.5</v>
    <v>1993</v>
    <v>211.39</v>
    <v>0.98780000000000001</v>
    <v>Nasdaq Stock Market</v>
    <v>39801621970</v>
    <v>Take-Two Interactive Software, Inc. É uma desenvolvedora, editora e comerciante de entretenimento interativo para consumidores em todo o mundo. A empresa desenvolve e publica produtos principalmente por meio da Rockstar Games, 2K e Zynga. Seus produtos são projetados para consoles de jogos, incluindo, mas não limitado a, Sony Computer Entertainment, Inc. (Sony) PlayStation4 (PS4) e PlayStation5 (PS5), Microsoft Corporation (Microsoft) Xbox One (Xbox One) e Xbox Series XS (Xbox Series XS) e Nintendo Switch (Switch), bem como dispositivos móveis, incluindo smartphones e tablets e computadores pessoais (PC). Ela fornece seus produtos por meio de varejo físico, download digital, plataformas on-line e serviços de streaming em nuvem. Ela vende títulos de software digital e fisicamente por meio de relacionamentos diretos com vitrines digitais e parceiros de plataforma, grandes clientes de varejo e distribuidores terceirizados. Ela também vende publicidade em vários de seus jogos, principalmente em dispositivos móveis.</v>
    <v>XNAS</v>
    <v>215.34</v>
    <v>12928</v>
    <v>46142.800890856248</v>
    <v>87</v>
    <v>1548552</v>
    <v>USD</v>
    <v>TAKE-TWO INTERACTIVE SOFTWARE, INC.</v>
    <v>TAKE-TWO INTERACTIVE SOFTWARE, INC.</v>
    <v>0</v>
    <v>213.48</v>
    <v>214.94</v>
    <v>110 West 44Th Street, NEW YORK, NY, 10036 US</v>
    <v>Software &amp; IT Services</v>
    <v>TTWO</v>
    <v>Ações</v>
    <v>TAKE-TWO INTERACTIVE SOFTWARE, INC. (XNAS:TTWO)</v>
    <v>-0.4</v>
    <v>-1.8579999999999998E-3</v>
    <v>666743</v>
  </rv>
  <rv s="2">
    <v>88</v>
  </rv>
  <rv s="10">
    <v>12</v>
    <v>Variação (%)</v>
    <v>0</v>
  </rv>
  <rv s="10">
    <v>12</v>
    <v>Preço</v>
    <v>0</v>
  </rv>
  <rv s="11">
    <v>12</v>
    <v>1</v>
  </rv>
  <rv s="12">
    <v>pt-BR</v>
    <v>avylgh</v>
    <v>268435456</v>
    <v>1</v>
    <v>Da plataforma Refinitiv</v>
    <v>31</v>
    <v>32</v>
    <v>USD/BRL</v>
    <v>33</v>
    <v>34</v>
    <v>Finance</v>
    <v>35</v>
    <v>5.7633999999999999</v>
    <v>4.9389000000000003</v>
    <v>5.0015000000000001</v>
    <v>4.9522000000000004</v>
    <v>USD</v>
    <v>4.9960000000000004</v>
    <v>46142.80091435185</v>
    <v>BRL</v>
    <v>US Dollar/Brazilian Real FX Spot Rate</v>
    <v>4.9966999999999997</v>
    <v>4.9539999999999997</v>
    <v>USDBRL</v>
    <v>Par de Moedas</v>
    <v>USD/BRL</v>
    <v>-4.2000000000000003E-2</v>
    <v>-8.4069999999999995E-3</v>
  </rv>
  <rv s="2">
    <v>93</v>
  </rv>
  <rv s="12">
    <v>pt-BR</v>
    <v>av8tf2</v>
    <v>268435456</v>
    <v>1</v>
    <v>Da plataforma Refinitiv</v>
    <v>31</v>
    <v>32</v>
    <v>EUR/BRL</v>
    <v>33</v>
    <v>34</v>
    <v>Finance</v>
    <v>35</v>
    <v>6.6006999999999998</v>
    <v>5.7824999999999998</v>
    <v>5.8550000000000004</v>
    <v>5.8131000000000004</v>
    <v>EUR</v>
    <v>5.8338000000000001</v>
    <v>46142.80091435185</v>
    <v>BRL</v>
    <v>Euro/Brazilian Real FX Cross Rate</v>
    <v>5.8346</v>
    <v>5.8155999999999999</v>
    <v>EURBRL</v>
    <v>Par de Moedas</v>
    <v>EUR/BRL</v>
    <v>-1.8200000000000001E-2</v>
    <v>-3.1199999999999999E-3</v>
  </rv>
  <rv s="2">
    <v>95</v>
  </rv>
  <rv s="12">
    <v>pt-BR</v>
    <v>av4vgh</v>
    <v>268435456</v>
    <v>1</v>
    <v>Da plataforma Refinitiv</v>
    <v>31</v>
    <v>32</v>
    <v>CNY/BRL</v>
    <v>33</v>
    <v>34</v>
    <v>Finance</v>
    <v>35</v>
    <v>0.79959999999999998</v>
    <v>0.72299999999999998</v>
    <v>0.73229999999999995</v>
    <v>0.72540000000000004</v>
    <v>CNY</v>
    <v>0.73050000000000004</v>
    <v>46142.80091435185</v>
    <v>BRL</v>
    <v>Chinese Renminbi/Brazilian Real FX Cross Rate</v>
    <v>0.73060000000000003</v>
    <v>0.72550000000000003</v>
    <v>CNYBRL</v>
    <v>Par de Moedas</v>
    <v>CNY/BRL</v>
    <v>-5.0000000000000001E-3</v>
    <v>-6.8450000000000004E-3</v>
  </rv>
  <rv s="2">
    <v>97</v>
  </rv>
  <rv s="12">
    <v>pt-BR</v>
    <v>avyau2</v>
    <v>268435456</v>
    <v>1</v>
    <v>Da plataforma Refinitiv</v>
    <v>31</v>
    <v>32</v>
    <v>GBP/BRL</v>
    <v>33</v>
    <v>34</v>
    <v>Finance</v>
    <v>35</v>
    <v>7.7588999999999997</v>
    <v>6.6681999999999997</v>
    <v>6.7720000000000002</v>
    <v>6.7191999999999998</v>
    <v>GBP</v>
    <v>6.7310999999999996</v>
    <v>46142.80091435185</v>
    <v>BRL</v>
    <v>UK Pound Sterling/Brazilian Real FX Cross Rate</v>
    <v>6.7305999999999999</v>
    <v>6.742</v>
    <v>GBPBRL</v>
    <v>Par de Moedas</v>
    <v>GBP/BRL</v>
    <v>1.09E-2</v>
    <v>1.6189999999999998E-3</v>
  </rv>
  <rv s="2">
    <v>99</v>
  </rv>
</rvData>
</file>

<file path=xl/richData/rdrichvaluestructure.xml><?xml version="1.0" encoding="utf-8"?>
<rvStructures xmlns="http://schemas.microsoft.com/office/spreadsheetml/2017/richdata" count="13">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Sede" t="s"/>
    <k n="Setor" t="s"/>
    <k n="Símbolo do ticker" t="s"/>
    <k n="Tipo de instrumento" t="s"/>
    <k n="UniqueName" t="s"/>
    <k n="Variação"/>
    <k n="Variação (%)"/>
    <k n="Volume"/>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lto"/>
    <k n="Baixo"/>
    <k n="Bolsa" t="s"/>
    <k n="Fechamento anterior"/>
    <k n="Hora da última transação"/>
    <k n="LearnMoreOnLink" t="r"/>
    <k n="Moeda" t="s"/>
    <k n="Nome" t="s"/>
    <k n="Pendência"/>
    <k n="Preço"/>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Imagem" t="r"/>
    <k n="LearnMoreOnLink" t="r"/>
    <k n="Média de volume"/>
    <k n="Moeda" t="s"/>
    <k n="Nome" t="s"/>
    <k n="Nome oficial" t="s"/>
    <k n="P/E"/>
    <k n="Pendência"/>
    <k n="Preço"/>
    <k n="Sede" t="s"/>
    <k n="Setor" t="s"/>
    <k n="Símbolo do ticker" t="s"/>
    <k n="Tipo de instrumento" t="s"/>
    <k n="UniqueName" t="s"/>
    <k n="Variação"/>
    <k n="Variação (%)"/>
    <k n="Volume"/>
  </s>
  <s t="_linkedentitycore">
    <k n="%EntityCulture" t="s"/>
    <k n="%EntityId" t="s"/>
    <k n="%EntityServiceId"/>
    <k n="%IsRefreshable" t="b"/>
    <k n="%ProviderInfo" t="s"/>
    <k n="_CanonicalPropertyNames" t="spb"/>
    <k n="_Display" t="spb"/>
    <k n="_DisplayString" t="s"/>
    <k n="_Flags" t="spb"/>
    <k n="_Format" t="spb"/>
    <k n="_Icon" t="s"/>
    <k n="_SubLabel" t="spb"/>
    <k n="Ativos líquidos"/>
    <k n="Classificação"/>
    <k n="Fechamento anterior"/>
    <k n="Hora da última transação"/>
    <k n="Last update time"/>
    <k n="Moeda" t="s"/>
    <k n="Nome" t="s"/>
    <k n="País/região" t="s"/>
    <k n="Preço"/>
    <k n="Retorno (1 a)"/>
    <k n="Retorno (1 m)"/>
    <k n="Retorno (1 s)"/>
    <k n="Retorno (3 a)"/>
    <k n="Retorno (3 m)"/>
    <k n="Retorno (5 a)"/>
    <k n="Retorno (AAD)"/>
    <k n="Taxa de despesas"/>
    <k n="Tipo de instrumento" t="s"/>
    <k n="UniqueName" t="s"/>
    <k n="Variação"/>
    <k n="Variação (%)"/>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Hora da última transação"/>
    <k n="LearnMoreOnLink" t="r"/>
    <k n="Média de volume"/>
    <k n="Moeda" t="s"/>
    <k n="Nome" t="s"/>
    <k n="Nome oficial" t="s"/>
    <k n="Pendência"/>
    <k n="Preço"/>
    <k n="Sede" t="s"/>
    <k n="Setor" t="s"/>
    <k n="Símbolo do ticker" t="s"/>
    <k n="Tipo de instrumento" t="s"/>
    <k n="UniqueName" t="s"/>
    <k n="Variação"/>
    <k n="Variação (%)"/>
    <k n="Volume"/>
  </s>
  <s t="_error">
    <k n="errorType" t="i"/>
    <k n="field" t="s"/>
    <k n="subType" t="i"/>
  </s>
  <s t="_error">
    <k n="errorType" t="i"/>
    <k n="propagated" t="b"/>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lto"/>
    <k n="Baixo"/>
    <k n="Da moeda" t="s"/>
    <k n="Fechamento anterior"/>
    <k n="Hora da última transação"/>
    <k n="Moeda" t="s"/>
    <k n="Nome" t="s"/>
    <k n="Pendência"/>
    <k n="Preço"/>
    <k n="Símbolo do ticker" t="s"/>
    <k n="Tipo de instrumento" t="s"/>
    <k n="UniqueName" t="s"/>
    <k n="Variação"/>
    <k n="Variação (%)"/>
  </s>
</rvStructures>
</file>

<file path=xl/richData/rdsupportingpropertybag.xml><?xml version="1.0" encoding="utf-8"?>
<supportingPropertyBags xmlns="http://schemas.microsoft.com/office/spreadsheetml/2017/richdata2">
  <spbArrays count="7">
    <a count="42">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a count="31">
      <v t="s">%EntityServiceId</v>
      <v t="s">_Format</v>
      <v t="s">%IsRefreshable</v>
      <v t="s">_CanonicalPropertyNames</v>
      <v t="s">%EntityCulture</v>
      <v t="s">%EntityId</v>
      <v t="s">_Icon</v>
      <v t="s">_Display</v>
      <v t="s">Nome</v>
      <v t="s">_SubLabel</v>
      <v t="s">Preço</v>
      <v t="s">Bolsa</v>
      <v t="s">Hora da última transação</v>
      <v t="s">Símbolo do ticker</v>
      <v t="s">Abreviatura do câmbio</v>
      <v t="s">Variação</v>
      <v t="s">Variação (%)</v>
      <v t="s">Moeda</v>
      <v t="s">Fechamento anterior</v>
      <v t="s">Pendência</v>
      <v t="s">Alto</v>
      <v t="s">Baixo</v>
      <v t="s">52 semanas de alta</v>
      <v t="s">52 semanas de baixa</v>
      <v t="s">Volume</v>
      <v t="s">Tipo de instrumento</v>
      <v t="s">_Flags</v>
      <v t="s">UniqueName</v>
      <v t="s">_DisplayString</v>
      <v t="s">LearnMoreOnLink</v>
      <v t="s">%ProviderInfo</v>
    </a>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4">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Imagem</v>
      <v t="s">ExchangeID</v>
      <v t="s">%ProviderInfo</v>
    </a>
    <a count="33">
      <v t="s">%EntityServiceId</v>
      <v t="s">_Format</v>
      <v t="s">%IsRefreshable</v>
      <v t="s">_CanonicalPropertyNames</v>
      <v t="s">%EntityCulture</v>
      <v t="s">%EntityId</v>
      <v t="s">_Icon</v>
      <v t="s">_Display</v>
      <v t="s">Nome</v>
      <v t="s">Preço</v>
      <v t="s">País/região</v>
      <v t="s">_SubLabel</v>
      <v t="s">Variação</v>
      <v t="s">Variação (%)</v>
      <v t="s">Classificação</v>
      <v t="s">Taxa de despesas</v>
      <v t="s">Fechamento anterior</v>
      <v t="s">Retorno (AAD)</v>
      <v t="s">Retorno (1 s)</v>
      <v t="s">Retorno (1 m)</v>
      <v t="s">Retorno (3 m)</v>
      <v t="s">Retorno (1 a)</v>
      <v t="s">Retorno (3 a)</v>
      <v t="s">Retorno (5 a)</v>
      <v t="s">Ativos líquidos</v>
      <v t="s">_Flags</v>
      <v t="s">Last update time</v>
      <v t="s">Hora da última transação</v>
      <v t="s">Tipo de instrumento</v>
      <v t="s">Moeda</v>
      <v t="s">UniqueName</v>
      <v t="s">_DisplayString</v>
      <v t="s">%ProviderInfo</v>
    </a>
    <a count="41">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Sede</v>
      <v t="s">Setor</v>
      <v t="s">Tipo de instrumento</v>
      <v t="s">Ano de incorporação</v>
      <v t="s">_Flags</v>
      <v t="s">UniqueName</v>
      <v t="s">_DisplayString</v>
      <v t="s">LearnMoreOnLink</v>
      <v t="s">ExchangeID</v>
      <v t="s">%ProviderInfo</v>
    </a>
    <a count="28">
      <v t="s">%EntityServiceId</v>
      <v t="s">_Format</v>
      <v t="s">%IsRefreshable</v>
      <v t="s">_CanonicalPropertyNames</v>
      <v t="s">%EntityCulture</v>
      <v t="s">%EntityId</v>
      <v t="s">_Icon</v>
      <v t="s">_Display</v>
      <v t="s">Nome</v>
      <v t="s">Preço</v>
      <v t="s">_SubLabel</v>
      <v t="s">Hora da última transação</v>
      <v t="s">Símbolo do ticker</v>
      <v t="s">Variação</v>
      <v t="s">Variação (%)</v>
      <v t="s">Moeda</v>
      <v t="s">Da moeda</v>
      <v t="s">Fechamento anterior</v>
      <v t="s">Pendência</v>
      <v t="s">Alto</v>
      <v t="s">Baixo</v>
      <v t="s">52 semanas de alta</v>
      <v t="s">52 semanas de baixa</v>
      <v t="s">Tipo de instrumento</v>
      <v t="s">_Flags</v>
      <v t="s">UniqueName</v>
      <v t="s">_DisplayString</v>
      <v t="s">%ProviderInfo</v>
    </a>
  </spbArrays>
  <spbData count="36">
    <spb s="0">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0</v>
      <v>Name</v>
      <v>LearnMoreOnLink</v>
    </spb>
    <spb s="2">
      <v>0</v>
      <v>0</v>
      <v>0</v>
    </spb>
    <spb s="3">
      <v>2</v>
      <v>2</v>
      <v>2</v>
      <v>2</v>
    </spb>
    <spb s="4">
      <v>1</v>
      <v>2</v>
      <v>3</v>
      <v>1</v>
      <v>1</v>
      <v>4</v>
      <v>1</v>
      <v>1</v>
      <v>4</v>
      <v>5</v>
      <v>4</v>
      <v>6</v>
      <v>1</v>
      <v>1</v>
      <v>7</v>
      <v>4</v>
      <v>1</v>
      <v>8</v>
      <v>9</v>
    </spb>
    <spb s="5">
      <v>Atraso de 30 minutos</v>
      <v xml:space="preserve">do fechamento anterior </v>
      <v xml:space="preserve">do fechamento anterior </v>
      <v>GMT</v>
    </spb>
    <spb s="6">
      <v>High</v>
      <v>Name</v>
      <v>Low</v>
      <v>Exchange</v>
      <v>Currency</v>
      <v>Price</v>
      <v>Volume</v>
      <v>Change</v>
      <v>Open</v>
      <v>UniqueName</v>
      <v>Change (%)</v>
      <v>%ProviderInfo</v>
      <v>LearnMoreOnLink</v>
      <v>Ticker symbol</v>
      <v>52 week high</v>
      <v>52 week low</v>
      <v>Previous close</v>
      <v>Instrument type</v>
      <v>Exchange abbreviation</v>
      <v>Last trade time</v>
    </spb>
    <spb s="1">
      <v>1</v>
      <v>Name</v>
      <v>LearnMoreOnLink</v>
    </spb>
    <spb s="7">
      <v>2</v>
      <v>2</v>
      <v>2</v>
    </spb>
    <spb s="8">
      <v>1</v>
      <v>3</v>
      <v>1</v>
      <v>1</v>
      <v>4</v>
      <v>1</v>
      <v>1</v>
      <v>5</v>
      <v>6</v>
      <v>1</v>
      <v>1</v>
      <v>1</v>
      <v>9</v>
    </spb>
    <spb s="9">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2</v>
      <v>Name</v>
      <v>LearnMoreOnLink</v>
    </spb>
    <spb s="10">
      <v>2</v>
      <v>10</v>
      <v>2</v>
      <v>3</v>
      <v>10</v>
      <v>10</v>
      <v>4</v>
      <v>10</v>
      <v>10</v>
      <v>4</v>
      <v>5</v>
      <v>4</v>
      <v>6</v>
      <v>10</v>
      <v>10</v>
      <v>7</v>
      <v>4</v>
      <v>10</v>
      <v>11</v>
      <v>9</v>
    </spb>
    <spb s="11">
      <v>Tempo Real Nasdaq Última venda</v>
      <v xml:space="preserve">do fechamento anterior </v>
      <v>Origem : Nasdaq Última venda</v>
      <v xml:space="preserve">do fechamento anterior </v>
      <v>GMT</v>
    </spb>
    <spb s="10">
      <v>2</v>
      <v>10</v>
      <v>2</v>
      <v>3</v>
      <v>10</v>
      <v>10</v>
      <v>4</v>
      <v>10</v>
      <v>10</v>
      <v>4</v>
      <v>5</v>
      <v>4</v>
      <v>6</v>
      <v>10</v>
      <v>10</v>
      <v>7</v>
      <v>4</v>
      <v>10</v>
      <v>12</v>
      <v>9</v>
    </spb>
    <spb s="5">
      <v>Atraso de 15 minutos</v>
      <v xml:space="preserve">do fechamento anterior </v>
      <v xml:space="preserve">do fechamento anterior </v>
      <v>GMT</v>
    </spb>
    <spb s="12">
      <v>P/E</v>
      <v>High</v>
      <v>Beta</v>
      <v>Name</v>
      <v>Headquarters</v>
      <v>Low</v>
      <v>Exchange</v>
      <v>Currency</v>
      <v>Price</v>
      <v>Industry</v>
      <v>Image</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3</v>
      <v>Name</v>
      <v>LearnMoreOnLink</v>
    </spb>
    <spb s="13">
      <v>0</v>
      <v>0</v>
    </spb>
    <spb s="14">
      <v>18</v>
      <v>2</v>
      <v>2</v>
      <v>2</v>
      <v>2</v>
    </spb>
    <spb s="15">
      <v>2</v>
      <v>10</v>
      <v>2</v>
      <v>3</v>
      <v>10</v>
      <v>10</v>
      <v>13</v>
      <v>4</v>
      <v>10</v>
      <v>10</v>
      <v>4</v>
      <v>5</v>
      <v>4</v>
      <v>6</v>
      <v>10</v>
      <v>10</v>
      <v>7</v>
      <v>4</v>
      <v>10</v>
      <v>11</v>
      <v>9</v>
    </spb>
    <spb s="16">
      <v>Da plataforma Refinitiv</v>
    </spb>
    <spb s="10">
      <v>2</v>
      <v>10</v>
      <v>2</v>
      <v>3</v>
      <v>10</v>
      <v>10</v>
      <v>4</v>
      <v>10</v>
      <v>10</v>
      <v>4</v>
      <v>5</v>
      <v>4</v>
      <v>6</v>
      <v>10</v>
      <v>10</v>
      <v>7</v>
      <v>4</v>
      <v>10</v>
      <v>14</v>
      <v>9</v>
    </spb>
    <spb s="17">
      <v>Name</v>
      <v>Currency</v>
      <v>Price</v>
      <v>Change</v>
      <v>UniqueName</v>
      <v>Country/region</v>
      <v>Change (%)</v>
      <v>%ProviderInfo</v>
      <v>Rating</v>
      <v>Return (1y)</v>
      <v>Return (1m)</v>
      <v>Return (1w)</v>
      <v>Return (3y)</v>
      <v>Return (3m)</v>
      <v>Return (5y)</v>
      <v>Return (YTD)</v>
      <v>Net assets</v>
      <v>Last update time</v>
      <v>Expense ratio</v>
      <v>Previous close</v>
      <v>Instrument type</v>
      <v>Last trade time</v>
    </spb>
    <spb s="18">
      <v>4</v>
      <v>Name</v>
    </spb>
    <spb s="19">
      <v>2</v>
      <v>2</v>
      <v>2</v>
    </spb>
    <spb s="20">
      <v>3</v>
      <v>10</v>
      <v>10</v>
      <v>5</v>
      <v>4</v>
      <v>5</v>
      <v>5</v>
      <v>5</v>
      <v>5</v>
      <v>5</v>
      <v>5</v>
      <v>5</v>
      <v>11</v>
      <v>9</v>
      <v>5</v>
      <v>6</v>
      <v>10</v>
      <v>15</v>
    </spb>
    <spb s="21">
      <v xml:space="preserve">do fechamento anterior </v>
      <v xml:space="preserve">do fechamento anterior </v>
      <v>GMT</v>
      <v>GMT</v>
    </spb>
    <spb s="22">
      <v>High</v>
      <v>Beta</v>
      <v>Name</v>
      <v>Headquarters</v>
      <v>Low</v>
      <v>Exchange</v>
      <v>Currency</v>
      <v>Price</v>
      <v>Industry</v>
      <v>Volume</v>
      <v>Change</v>
      <v>Description</v>
      <v>Open</v>
      <v>ExchangeID</v>
      <v>UniqueName</v>
      <v>Official name</v>
      <v>Change (%)</v>
      <v>%ProviderInfo</v>
      <v>LearnMoreOnLink</v>
      <v>Volume average</v>
      <v>Ticker symbol</v>
      <v>52 week high</v>
      <v>52 week low</v>
      <v>Year incorporated</v>
      <v>Shares outstanding</v>
      <v>Previous close</v>
      <v>Instrument type</v>
      <v>Exchange abbreviation</v>
      <v>Market cap</v>
      <v>Last trade time</v>
    </spb>
    <spb s="1">
      <v>5</v>
      <v>Name</v>
      <v>LearnMoreOnLink</v>
    </spb>
    <spb s="23">
      <v>1</v>
      <v>2</v>
      <v>3</v>
      <v>1</v>
      <v>1</v>
      <v>4</v>
      <v>1</v>
      <v>1</v>
      <v>5</v>
      <v>4</v>
      <v>6</v>
      <v>1</v>
      <v>1</v>
      <v>7</v>
      <v>4</v>
      <v>1</v>
      <v>8</v>
      <v>9</v>
    </spb>
    <spb s="24">
      <v>High</v>
      <v>Name</v>
      <v>Low</v>
      <v>Currency</v>
      <v>Price</v>
      <v>From currency</v>
      <v>Change</v>
      <v>Open</v>
      <v>UniqueName</v>
      <v>Change (%)</v>
      <v>%ProviderInfo</v>
      <v>Ticker symbol</v>
      <v>52 week high</v>
      <v>52 week low</v>
      <v>Previous close</v>
      <v>Instrument type</v>
      <v>Last trade time</v>
    </spb>
    <spb s="18">
      <v>6</v>
      <v>Name</v>
    </spb>
    <spb s="25">
      <v>2</v>
      <v>2</v>
    </spb>
    <spb s="26">
      <v>1</v>
      <v>3</v>
      <v>1</v>
      <v>1</v>
      <v>1</v>
      <v>1</v>
      <v>5</v>
      <v>6</v>
      <v>1</v>
      <v>1</v>
      <v>1</v>
      <v>9</v>
    </spb>
    <spb s="27">
      <v>GMT</v>
    </spb>
  </spbData>
</supportingPropertyBags>
</file>

<file path=xl/richData/rdsupportingpropertybagstructure.xml><?xml version="1.0" encoding="utf-8"?>
<spbStructures xmlns="http://schemas.microsoft.com/office/spreadsheetml/2017/richdata2" count="28">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CardView" t="b"/>
    <k n="ShowInDotNotation" t="b"/>
    <k n="ShowInAutoComplete" t="b"/>
  </s>
  <s>
    <k n="ExchangeID" t="spb"/>
    <k n="UniqueName" t="spb"/>
    <k n="`%ProviderInfo" t="spb"/>
    <k n="LearnMoreOnLink" t="spb"/>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Alto" t="s"/>
    <k n="Nome" t="s"/>
    <k n="Baixo" t="s"/>
    <k n="Bolsa" t="s"/>
    <k n="Moeda" t="s"/>
    <k n="Preço" t="s"/>
    <k n="Volume" t="s"/>
    <k n="Variação" t="s"/>
    <k n="Pendência" t="s"/>
    <k n="UniqueName" t="s"/>
    <k n="Variação (%)" t="s"/>
    <k n="%ProviderInfo" t="s"/>
    <k n="LearnMoreOnLink" t="s"/>
    <k n="Símbolo do ticker" t="s"/>
    <k n="52 semanas de alta" t="s"/>
    <k n="52 semanas de baixa" t="s"/>
    <k n="Fechamento anterior" t="s"/>
    <k n="Tipo de instrumento" t="s"/>
    <k n="Abreviatura do câmbio" t="s"/>
    <k n="Hora da última transação" t="s"/>
  </s>
  <s>
    <k n="UniqueName" t="spb"/>
    <k n="`%ProviderInfo" t="spb"/>
    <k n="LearnMoreOnLink" t="spb"/>
  </s>
  <s>
    <k n="Alto" t="i"/>
    <k n="Nome" t="i"/>
    <k n="Baixo" t="i"/>
    <k n="Preço" t="i"/>
    <k n="Volume" t="i"/>
    <k n="Variação" t="i"/>
    <k n="Pendência" t="i"/>
    <k n="Variação (%)" t="i"/>
    <k n="`%EntityServiceId" t="i"/>
    <k n="52 semanas de alta" t="i"/>
    <k n="52 semanas de baixa" t="i"/>
    <k n="Fechamento anterior" t="i"/>
    <k n="Hora da última transação" t="i"/>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P/E" t="s"/>
    <k n="Alto" t="s"/>
    <k n="Beta" t="s"/>
    <k n="Nome" t="s"/>
    <k n="Sede" t="s"/>
    <k n="Baixo" t="s"/>
    <k n="Bolsa" t="s"/>
    <k n="Moeda" t="s"/>
    <k n="Preço" t="s"/>
    <k n="Setor" t="s"/>
    <k n="Imagem"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ShowInDotNotation" t="b"/>
    <k n="ShowInAutoComplete" t="b"/>
  </s>
  <s>
    <k n="Imagem" t="spb"/>
    <k n="ExchangeID" t="spb"/>
    <k n="UniqueName" t="spb"/>
    <k n="`%ProviderInfo" t="spb"/>
    <k n="LearnMoreOnLink" t="spb"/>
  </s>
  <s>
    <k n="P/E" t="i"/>
    <k n="Alto" t="i"/>
    <k n="Beta" t="i"/>
    <k n="Nome" t="i"/>
    <k n="Baixo" t="i"/>
    <k n="Preço" t="i"/>
    <k n="Imagem"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name" t="s"/>
  </s>
  <s>
    <k n="Nome" t="s"/>
    <k n="Moeda" t="s"/>
    <k n="Preço" t="s"/>
    <k n="Variação" t="s"/>
    <k n="UniqueName" t="s"/>
    <k n="País/região" t="s"/>
    <k n="Variação (%)" t="s"/>
    <k n="%ProviderInfo" t="s"/>
    <k n="Classificação" t="s"/>
    <k n="Retorno (1 a)" t="s"/>
    <k n="Retorno (1 m)" t="s"/>
    <k n="Retorno (1 s)" t="s"/>
    <k n="Retorno (3 a)" t="s"/>
    <k n="Retorno (3 m)" t="s"/>
    <k n="Retorno (5 a)" t="s"/>
    <k n="Retorno (AAD)" t="s"/>
    <k n="Ativos líquidos" t="s"/>
    <k n="Last update time" t="s"/>
    <k n="Taxa de despesas" t="s"/>
    <k n="Fechamento anterior" t="s"/>
    <k n="Tipo de instrumento" t="s"/>
    <k n="Hora da última transação" t="s"/>
  </s>
  <s>
    <k n="^Order" t="spba"/>
    <k n="TitleProperty" t="s"/>
  </s>
  <s>
    <k n="UniqueName" t="spb"/>
    <k n="`%ProviderInfo" t="spb"/>
    <k n="Last update time" t="spb"/>
  </s>
  <s>
    <k n="Nome" t="i"/>
    <k n="Preço" t="i"/>
    <k n="Variação" t="i"/>
    <k n="Variação (%)" t="i"/>
    <k n="Classificação" t="i"/>
    <k n="Retorno (1 a)" t="i"/>
    <k n="Retorno (1 m)" t="i"/>
    <k n="Retorno (1 s)" t="i"/>
    <k n="Retorno (3 a)" t="i"/>
    <k n="Retorno (3 m)" t="i"/>
    <k n="Retorno (5 a)" t="i"/>
    <k n="Retorno (AAD)" t="i"/>
    <k n="Ativos líquidos" t="i"/>
    <k n="Last update time" t="i"/>
    <k n="Taxa de despesas" t="i"/>
    <k n="`%EntityServiceId" t="i"/>
    <k n="Fechamento anterior" t="i"/>
    <k n="Hora da última transação" t="i"/>
  </s>
  <s>
    <k n="Variação" t="s"/>
    <k n="Variação (%)" t="s"/>
    <k n="Last update time" t="s"/>
    <k n="Hora da última transação" t="s"/>
  </s>
  <s>
    <k n="Alto" t="s"/>
    <k n="Beta" t="s"/>
    <k n="Nome" t="s"/>
    <k n="Sede" t="s"/>
    <k n="Baixo" t="s"/>
    <k n="Bolsa" t="s"/>
    <k n="Moeda" t="s"/>
    <k n="Preço" t="s"/>
    <k n="Setor" t="s"/>
    <k n="Volume" t="s"/>
    <k n="Variação" t="s"/>
    <k n="Descrição" t="s"/>
    <k n="Pendência" t="s"/>
    <k n="ExchangeID" t="s"/>
    <k n="UniqueName"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Beta" t="i"/>
    <k n="Nome" t="i"/>
    <k n="Baixo" t="i"/>
    <k n="Preço" t="i"/>
    <k n="Volume" t="i"/>
    <k n="Variação" t="i"/>
    <k n="Pendência" t="i"/>
    <k n="Variação (%)" t="i"/>
    <k n="Média de volume" t="i"/>
    <k n="`%EntityServiceId" t="i"/>
    <k n="52 semanas de alta" t="i"/>
    <k n="52 semanas de baixa" t="i"/>
    <k n="Ano de incorporação" t="i"/>
    <k n="Ações em circulação" t="i"/>
    <k n="Fechamento anterior" t="i"/>
    <k n="Capitalização de mercado" t="i"/>
    <k n="Hora da última transação" t="i"/>
  </s>
  <s>
    <k n="Alto" t="s"/>
    <k n="Nome" t="s"/>
    <k n="Baixo" t="s"/>
    <k n="Moeda" t="s"/>
    <k n="Preço" t="s"/>
    <k n="Da moeda" t="s"/>
    <k n="Variação" t="s"/>
    <k n="Pendência" t="s"/>
    <k n="UniqueName" t="s"/>
    <k n="Variação (%)" t="s"/>
    <k n="%ProviderInfo" t="s"/>
    <k n="Símbolo do ticker" t="s"/>
    <k n="52 semanas de alta" t="s"/>
    <k n="52 semanas de baixa" t="s"/>
    <k n="Fechamento anterior" t="s"/>
    <k n="Tipo de instrumento" t="s"/>
    <k n="Hora da última transação" t="s"/>
  </s>
  <s>
    <k n="UniqueName" t="spb"/>
    <k n="`%ProviderInfo" t="spb"/>
  </s>
  <s>
    <k n="Alto" t="i"/>
    <k n="Nome" t="i"/>
    <k n="Baixo" t="i"/>
    <k n="Preço" t="i"/>
    <k n="Variação" t="i"/>
    <k n="Pendência" t="i"/>
    <k n="Variação (%)" t="i"/>
    <k n="`%EntityServiceId" t="i"/>
    <k n="52 semanas de alta" t="i"/>
    <k n="52 semanas de baixa" t="i"/>
    <k n="Fechamento anterior" t="i"/>
    <k n="Hora da última transação" t="i"/>
  </s>
  <s>
    <k n="Hora da última transaçã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Pr n="IsHeroField" t="b"/>
  </richProperties>
  <richStyles>
    <rSty dxfid="1">
      <rpv i="0">_-[$R$-pt-BR] * #,##0.00_-;-[$R$-pt-BR] * #,##0.00_-;_-[$R$-pt-BR] * "-"??_-;_-@_-</rpv>
    </rSty>
    <rSty dxfid="5">
      <rpv i="0">#,##0.00</rpv>
    </rSty>
    <rSty>
      <rpv i="1">1</rpv>
    </rSty>
    <rSty dxfid="4">
      <rpv i="0">#,##0</rpv>
    </rSty>
    <rSty dxfid="3"/>
    <rSty dxfid="0">
      <rpv i="0">0.00</rpv>
    </rSty>
    <rSty dxfid="6">
      <rpv i="0">0</rpv>
    </rSty>
    <rSty dxfid="1">
      <rpv i="0">_-[$R$-pt-BR] * #,##0_-;-[$R$-pt-BR] * #,##0_-;_-[$R$-pt-BR] * "-"_-;_-@_-</rpv>
    </rSty>
    <rSty dxfid="2"/>
    <rSty dxfid="1">
      <rpv i="0">_([$$-en-US]* #,##0.00_);_([$$-en-US]* (#,##0.00);_([$$-en-US]* "-"??_);_(@_)</rpv>
    </rSty>
    <rSty dxfid="1">
      <rpv i="0">_([$$-en-US]* #,##0_);_([$$-en-US]* (#,##0);_([$$-en-US]* "-"_);_(@_)</rpv>
    </rSty>
    <rSty dxfid="1">
      <rpv i="0">_-[$$-en-HK]* #,##0_-;-[$$-en-HK]* #,##0_-;_-[$$-en-HK]* "-"_-;_-@_-</rpv>
    </rSty>
    <rSty>
      <rpv i="2">1</rpv>
    </rSty>
    <rSty dxfid="1">
      <rpv i="0">_-[$₩-ko-KR]* #,##0_-;-[$₩-ko-KR]* #,##0_-;_-[$₩-ko-KR]* "-"_-;_-@_-</rpv>
    </rSty>
    <rSty dxfid="7"/>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DE398E-46BD-4FC8-A21F-60C2BBC050AC}" name="Tabela4" displayName="Tabela4" ref="A1:J5" totalsRowShown="0" headerRowDxfId="64" tableBorderDxfId="63">
  <autoFilter ref="A1:J5" xr:uid="{6BDE398E-46BD-4FC8-A21F-60C2BBC050AC}"/>
  <tableColumns count="10">
    <tableColumn id="1" xr3:uid="{E9A9D467-EDFA-4BDF-9905-062888CB7312}" name="AÇÃO" dataDxfId="62" totalsRowDxfId="61"/>
    <tableColumn id="6" xr3:uid="{D56DAB7D-E4BE-4C22-B414-AA61AA9A658C}" name="COD AÇÃO" totalsRowDxfId="60"/>
    <tableColumn id="2" xr3:uid="{C7E0665B-9DD3-496E-83B3-65C2099547CF}" name="VAR." dataDxfId="59" totalsRowDxfId="58">
      <calculatedColumnFormula array="1">_FV(A2,"Variação (%)",TRUE)</calculatedColumnFormula>
    </tableColumn>
    <tableColumn id="3" xr3:uid="{E18B684A-8FCC-4592-BCEE-2F880F2A1DFD}" name="VALOR " dataDxfId="57" totalsRowDxfId="56">
      <calculatedColumnFormula array="1">_FV(A2,"Preço")</calculatedColumnFormula>
    </tableColumn>
    <tableColumn id="4" xr3:uid="{CE2FE3E5-6869-4D64-8986-3203AE726DBC}" name="COMPRA" dataDxfId="55" totalsRowDxfId="54"/>
    <tableColumn id="5" xr3:uid="{79806060-2714-4EBC-B368-C6EC2388E34D}" name="RENT" dataDxfId="53" totalsRowDxfId="52">
      <calculatedColumnFormula>(D2-E2)/E2</calculatedColumnFormula>
    </tableColumn>
    <tableColumn id="7" xr3:uid="{63648F5B-70C8-4D24-ADF2-7F1A5B27F9DC}" name="Nº AÇÕES " dataDxfId="51" totalsRowDxfId="50"/>
    <tableColumn id="8" xr3:uid="{F34F32F3-6DAB-46D3-B041-21542AE94C67}" name="VAL. INVEST." dataDxfId="49" totalsRowDxfId="48">
      <calculatedColumnFormula>Tabela4[[#This Row],[Nº AÇÕES ]]*Tabela4[[#This Row],[COMPRA]]</calculatedColumnFormula>
    </tableColumn>
    <tableColumn id="9" xr3:uid="{BDF623A9-7875-40F8-94F1-10E2F6FC9F15}" name="VAL. ATUAL" dataDxfId="47" totalsRowDxfId="46">
      <calculatedColumnFormula>Tabela4[[#This Row],[Nº AÇÕES ]]*Tabela4[[#This Row],[VALOR ]]</calculatedColumnFormula>
    </tableColumn>
    <tableColumn id="10" xr3:uid="{CEA20FA0-BC03-4A1B-957F-B43540A4FCBB}" name="LUCRO/PERDA" dataDxfId="45" totalsRowDxfId="44">
      <calculatedColumnFormula>Tabela4[[#This Row],[VAL. ATUAL]]-Tabela4[[#This Row],[VAL. INVEST.]]</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48C504-83E0-494D-874D-E61C800A9417}" name="Tabela5" displayName="Tabela5" ref="A1:K7" totalsRowCount="1" headerRowDxfId="106">
  <autoFilter ref="A1:K6" xr:uid="{B648C504-83E0-494D-874D-E61C800A9417}"/>
  <tableColumns count="11">
    <tableColumn id="1" xr3:uid="{CEA4BF1E-E5B2-49A2-8E2F-09A42E894D12}" name="DATA"/>
    <tableColumn id="2" xr3:uid="{773F8BE3-1C52-4982-83C3-5181107F1554}" name="COD AÇÃO" totalsRowFunction="count"/>
    <tableColumn id="11" xr3:uid="{5C120F16-E7B3-41CB-A60D-989BC131887C}" name="Variação" dataDxfId="105" totalsRowDxfId="104">
      <calculatedColumnFormula array="1">_FV(Tabela5[[#This Row],[COD AÇÃO]],"Variação")</calculatedColumnFormula>
    </tableColumn>
    <tableColumn id="12" xr3:uid="{40523ABF-100A-449E-8A83-83FF60405FC7}" name="Preço" dataDxfId="103" totalsRowDxfId="102">
      <calculatedColumnFormula array="1">_FV(Tabela5[[#This Row],[COD AÇÃO]],"Preço")</calculatedColumnFormula>
    </tableColumn>
    <tableColumn id="3" xr3:uid="{535D7A51-9B14-4A17-A8D8-04750348B66D}" name="VAL. REAIS (R$)" dataDxfId="101" totalsRowDxfId="100">
      <calculatedColumnFormula>Tabela5[[#This Row],[Preço]]</calculatedColumnFormula>
    </tableColumn>
    <tableColumn id="13" xr3:uid="{B6C26A14-428B-446C-85A5-12609BE87D35}" name="COMPRA" dataDxfId="99" totalsRowDxfId="98"/>
    <tableColumn id="14" xr3:uid="{81D91988-5D61-4F3F-933D-109CE4A97B73}" name="RENT" totalsRowFunction="sum" dataDxfId="97" totalsRowDxfId="96">
      <calculatedColumnFormula>(D2-F2)/F2</calculatedColumnFormula>
    </tableColumn>
    <tableColumn id="15" xr3:uid="{74F5FC0F-02AD-43CB-9CCF-3A0E979F2F7B}" name="Nº AÇÕES "/>
    <tableColumn id="16" xr3:uid="{EE81712F-31E1-4253-9544-44CDDB0467D7}" name="VAL. INVEST." totalsRowFunction="sum" dataDxfId="95" totalsRowDxfId="94">
      <calculatedColumnFormula>Tabela5[[#This Row],[Nº AÇÕES ]]*Tabela5[[#This Row],[COMPRA]]</calculatedColumnFormula>
    </tableColumn>
    <tableColumn id="17" xr3:uid="{0D2C73FE-4CB4-4491-9CC1-F39B84416ECF}" name="VAL. ATUAL" totalsRowFunction="sum" dataDxfId="93" totalsRowDxfId="92">
      <calculatedColumnFormula>Tabela5[[#This Row],[Nº AÇÕES ]]*Tabela5[[#This Row],[Preço]]</calculatedColumnFormula>
    </tableColumn>
    <tableColumn id="18" xr3:uid="{B656E39C-855E-45D6-AB3D-8FB99CA1E005}" name="LUCRO/PERDA" totalsRowFunction="custom" dataDxfId="91" totalsRowDxfId="90">
      <calculatedColumnFormula>Tabela5[[#This Row],[VAL. ATUAL]]-Tabela5[[#This Row],[VAL. INVEST.]]</calculatedColumnFormula>
      <totalsRowFormula>SUM(Tabela5[LUCRO/PERDA])</totalsRow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419E143-014B-4086-BD57-E0B6667DDF10}" name="Tabela6" displayName="Tabela6" ref="A13:K15" totalsRowCount="1" headerRowDxfId="89" dataDxfId="88" tableBorderDxfId="87">
  <autoFilter ref="A13:K14" xr:uid="{A419E143-014B-4086-BD57-E0B6667DDF10}"/>
  <tableColumns count="11">
    <tableColumn id="1" xr3:uid="{DC698912-3586-4606-A420-4F842E6CA812}" name="DATA" dataDxfId="86" totalsRowDxfId="85"/>
    <tableColumn id="2" xr3:uid="{1F66BA88-4A31-4856-9F1F-914C2A4CA835}" name="COD AÇÃO" totalsRowFunction="count" dataDxfId="84" totalsRowDxfId="83"/>
    <tableColumn id="3" xr3:uid="{3C29C087-C224-4196-AF9F-F176937BBB9F}" name="Variação" dataDxfId="82" totalsRowDxfId="81">
      <calculatedColumnFormula array="1">_FV(B14,"Variação")</calculatedColumnFormula>
    </tableColumn>
    <tableColumn id="4" xr3:uid="{1D452299-A9D4-4D63-A3AC-8D430B0720DE}" name="Preço" dataDxfId="80" totalsRowDxfId="79">
      <calculatedColumnFormula array="1">_FV(B14,"Preço")</calculatedColumnFormula>
    </tableColumn>
    <tableColumn id="11" xr3:uid="{10305C69-751F-4F69-B261-A6000E9EFCC5}" name="VAL. REAIS (R$)" dataDxfId="78" totalsRowDxfId="77">
      <calculatedColumnFormula>D14*CAMBIO!$C$2</calculatedColumnFormula>
    </tableColumn>
    <tableColumn id="5" xr3:uid="{93E7833C-01F1-4A34-94FB-98F24D0347F8}" name="COMPRA" dataDxfId="76" totalsRowDxfId="75"/>
    <tableColumn id="6" xr3:uid="{8EDAB616-1EA3-4AAC-82F4-794BA5B78860}" name="RENT" totalsRowFunction="sum" dataDxfId="74" totalsRowDxfId="73">
      <calculatedColumnFormula>(D14-F14)/F14</calculatedColumnFormula>
    </tableColumn>
    <tableColumn id="7" xr3:uid="{86E855A8-1178-40C3-ACB7-FB032EEA3427}" name="Nº AÇÕES " dataDxfId="72" totalsRowDxfId="71"/>
    <tableColumn id="8" xr3:uid="{2A393C4A-4DA4-49E2-B785-593BD4036BD0}" name="VAL. INVEST." dataDxfId="70" totalsRowDxfId="69"/>
    <tableColumn id="9" xr3:uid="{64D9BB99-AA04-4C93-9AC8-843DEDF1A845}" name="VAL. ATUAL" dataDxfId="68" totalsRowDxfId="67">
      <calculatedColumnFormula>H14*D14</calculatedColumnFormula>
    </tableColumn>
    <tableColumn id="10" xr3:uid="{FA98F376-ABB5-48CD-848C-4C38F9D76FFB}" name="LUCRO/PERDA" totalsRowFunction="custom" dataDxfId="66" totalsRowDxfId="65">
      <calculatedColumnFormula>J14-I14</calculatedColumnFormula>
      <totalsRowFormula>SUM(Tabela6[LUCRO/PERDA])</totalsRow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561DF8-79C1-4EFA-9113-548440AAF01E}" name="Tabela1" displayName="Tabela1" ref="A1:E13" totalsRowShown="0">
  <autoFilter ref="A1:E13" xr:uid="{FA561DF8-79C1-4EFA-9113-548440AAF01E}"/>
  <sortState xmlns:xlrd2="http://schemas.microsoft.com/office/spreadsheetml/2017/richdata2" ref="A2:E5">
    <sortCondition ref="B1:B5"/>
  </sortState>
  <tableColumns count="5">
    <tableColumn id="1" xr3:uid="{259E6E46-6DD6-4704-8C15-948F5FACFAEE}" name="AÇÃO"/>
    <tableColumn id="2" xr3:uid="{000E2CC0-CB73-449E-9FCB-2F552C9F9815}" name="VAR." dataDxfId="43">
      <calculatedColumnFormula array="1">_FV(A2,"Variação (%)",TRUE)</calculatedColumnFormula>
    </tableColumn>
    <tableColumn id="3" xr3:uid="{996F6E29-8A57-471B-A140-2057EADD6D92}" name="VALOR " dataDxfId="42">
      <calculatedColumnFormula array="1">_FV(A2,"Preço")</calculatedColumnFormula>
    </tableColumn>
    <tableColumn id="4" xr3:uid="{3C0C8E65-3FCF-4BFE-B5B4-5F814C3E21FD}" name="COMPRA" dataDxfId="41"/>
    <tableColumn id="5" xr3:uid="{146BE805-C58F-4920-A318-88507C2B46B9}" name="RENT" dataDxfId="40">
      <calculatedColumnFormula>(C2-D2)/D2</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212427-6C1D-4F50-9556-EECC802DBED2}" name="Tabela14" displayName="Tabela14" ref="A1:E12" totalsRowShown="0">
  <autoFilter ref="A1:E12" xr:uid="{7E212427-6C1D-4F50-9556-EECC802DBED2}"/>
  <sortState xmlns:xlrd2="http://schemas.microsoft.com/office/spreadsheetml/2017/richdata2" ref="A2:E5">
    <sortCondition ref="B1:B5"/>
  </sortState>
  <tableColumns count="5">
    <tableColumn id="1" xr3:uid="{B49A70E6-F7C6-436F-8914-512D79039498}" name="AÇÃO"/>
    <tableColumn id="2" xr3:uid="{A64265D2-A644-4A85-80B1-23C3B95404D1}" name="VAR." dataDxfId="39">
      <calculatedColumnFormula array="1">_FV(A2,"Variação (%)",TRUE)</calculatedColumnFormula>
    </tableColumn>
    <tableColumn id="3" xr3:uid="{20659D1F-2FD1-4711-BDD8-540727A3F189}" name="VALOR " dataDxfId="38">
      <calculatedColumnFormula array="1">_FV(A2,"Preço")</calculatedColumnFormula>
    </tableColumn>
    <tableColumn id="4" xr3:uid="{CFDDF739-9850-42C1-AE86-40BA31EA3BC8}" name="COMPRA" dataDxfId="37"/>
    <tableColumn id="5" xr3:uid="{23AFA8B3-6BC5-449A-ADD8-DD075AFD0FF0}" name="RENT" dataDxfId="36">
      <calculatedColumnFormula>(C2-D2)/D2</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B0CEB2-AAF1-40D2-87A1-0AAA19BE30C7}" name="Tabela2" displayName="Tabela2" ref="A1:C5" totalsRowShown="0">
  <autoFilter ref="A1:C5" xr:uid="{04B0CEB2-AAF1-40D2-87A1-0AAA19BE30C7}"/>
  <tableColumns count="3">
    <tableColumn id="1" xr3:uid="{C4192526-E4BA-459C-A824-8C880A5EDBB3}" name="MOEDA"/>
    <tableColumn id="2" xr3:uid="{F88C0595-A086-458E-BFC0-5BDD9EE2D4BC}" name="VAR." dataDxfId="35">
      <calculatedColumnFormula array="1">_FV(A2,"Variação (%)",TRUE)</calculatedColumnFormula>
    </tableColumn>
    <tableColumn id="3" xr3:uid="{A8EFDB93-7BAE-4ED8-BAB6-133F09AF1D74}" name="VALOR" dataDxfId="34">
      <calculatedColumnFormula array="1">_FV(A2,"Preço")</calculatedColumnFormula>
    </tableColumn>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5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0487FF-23C5-4107-850C-94F43D40B344}">
  <we:reference id="wa200009404" version="1.0.0.8" store="en-US" storeType="OMEX"/>
  <we:alternateReferences>
    <we:reference id="WA200009404" version="1.0.0.8" store="" storeType="OMEX"/>
  </we:alternateReferences>
  <we:properties>
    <we:property name="claude.fileId" value="&quot;c2f5ba03-406e-4ed2-b0a4-80f72e9e8e2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1B09-853A-42F7-8875-55A97C68BCF3}">
  <sheetPr codeName="Planilha1"/>
  <dimension ref="A1:J11"/>
  <sheetViews>
    <sheetView topLeftCell="B1" workbookViewId="0">
      <selection activeCell="L15" sqref="L15"/>
    </sheetView>
  </sheetViews>
  <sheetFormatPr defaultRowHeight="14.4" x14ac:dyDescent="0.3"/>
  <cols>
    <col min="1" max="1" width="47.44140625" hidden="1" customWidth="1"/>
    <col min="2" max="2" width="13.109375" bestFit="1" customWidth="1"/>
    <col min="3" max="3" width="7.44140625" bestFit="1" customWidth="1"/>
    <col min="4" max="4" width="9.6640625" bestFit="1" customWidth="1"/>
    <col min="5" max="5" width="12.6640625" bestFit="1" customWidth="1"/>
    <col min="6" max="6" width="8.109375" bestFit="1" customWidth="1"/>
    <col min="7" max="7" width="12.6640625" bestFit="1" customWidth="1"/>
    <col min="8" max="8" width="14.5546875" bestFit="1" customWidth="1"/>
    <col min="9" max="9" width="13.109375" bestFit="1" customWidth="1"/>
    <col min="10" max="10" width="16.6640625" bestFit="1" customWidth="1"/>
  </cols>
  <sheetData>
    <row r="1" spans="1:10" x14ac:dyDescent="0.3">
      <c r="A1" s="10" t="s">
        <v>0</v>
      </c>
      <c r="B1" s="10" t="s">
        <v>11</v>
      </c>
      <c r="C1" s="10" t="s">
        <v>1</v>
      </c>
      <c r="D1" s="10" t="s">
        <v>2</v>
      </c>
      <c r="E1" s="11" t="s">
        <v>3</v>
      </c>
      <c r="F1" s="12" t="s">
        <v>4</v>
      </c>
      <c r="G1" s="4" t="s">
        <v>7</v>
      </c>
      <c r="H1" s="9" t="s">
        <v>8</v>
      </c>
      <c r="I1" s="4" t="s">
        <v>9</v>
      </c>
      <c r="J1" s="10" t="s">
        <v>10</v>
      </c>
    </row>
    <row r="2" spans="1:10" x14ac:dyDescent="0.3">
      <c r="A2" s="8" t="e" vm="1">
        <v>#VALUE!</v>
      </c>
      <c r="B2" t="s">
        <v>12</v>
      </c>
      <c r="C2" s="2" cm="1">
        <f t="array" aca="1" ref="C2" ca="1">_FV(A2,"Variação (%)",TRUE)</f>
        <v>8.0000000000000002E-3</v>
      </c>
      <c r="D2" s="1" cm="1">
        <f t="array" aca="1" ref="D2" ca="1">_FV(A2,"Preço")</f>
        <v>34.020000000000003</v>
      </c>
      <c r="E2" s="7">
        <v>36.380000000000003</v>
      </c>
      <c r="F2" s="5">
        <f t="shared" ref="F2:F5" ca="1" si="0">(D2-E2)/E2</f>
        <v>-6.4870808136338623E-2</v>
      </c>
      <c r="G2" s="8">
        <v>300</v>
      </c>
      <c r="H2" s="7">
        <f>Tabela4[[#This Row],[Nº AÇÕES ]]*Tabela4[[#This Row],[COMPRA]]</f>
        <v>10914</v>
      </c>
      <c r="I2" s="6">
        <f ca="1">Tabela4[[#This Row],[Nº AÇÕES ]]*Tabela4[[#This Row],[VALOR ]]</f>
        <v>10206.000000000002</v>
      </c>
      <c r="J2" s="1">
        <f ca="1">Tabela4[[#This Row],[VAL. ATUAL]]-Tabela4[[#This Row],[VAL. INVEST.]]</f>
        <v>-707.99999999999818</v>
      </c>
    </row>
    <row r="3" spans="1:10" x14ac:dyDescent="0.3">
      <c r="A3" s="8" t="e" vm="2">
        <v>#VALUE!</v>
      </c>
      <c r="B3" t="s">
        <v>13</v>
      </c>
      <c r="C3" s="2" cm="1">
        <f t="array" aca="1" ref="C3" ca="1">_FV(A3,"Variação (%)",TRUE)</f>
        <v>2.5554E-2</v>
      </c>
      <c r="D3" s="1" cm="1">
        <f t="array" aca="1" ref="D3" ca="1">_FV(A3,"Preço")</f>
        <v>81.47</v>
      </c>
      <c r="E3" s="7">
        <v>79.53</v>
      </c>
      <c r="F3" s="5">
        <f t="shared" ca="1" si="0"/>
        <v>2.4393310700364615E-2</v>
      </c>
      <c r="G3" s="8">
        <v>300</v>
      </c>
      <c r="H3" s="7">
        <f>Tabela4[[#This Row],[Nº AÇÕES ]]*Tabela4[[#This Row],[COMPRA]]</f>
        <v>23859</v>
      </c>
      <c r="I3" s="6">
        <f ca="1">Tabela4[[#This Row],[Nº AÇÕES ]]*Tabela4[[#This Row],[VALOR ]]</f>
        <v>24441</v>
      </c>
      <c r="J3" s="1">
        <f ca="1">Tabela4[[#This Row],[VAL. ATUAL]]-Tabela4[[#This Row],[VAL. INVEST.]]</f>
        <v>582</v>
      </c>
    </row>
    <row r="4" spans="1:10" x14ac:dyDescent="0.3">
      <c r="A4" s="8" t="e" vm="3">
        <v>#VALUE!</v>
      </c>
      <c r="B4" t="s">
        <v>14</v>
      </c>
      <c r="C4" s="2" cm="1">
        <f t="array" aca="1" ref="C4" ca="1">_FV(A4,"Variação (%)",TRUE)</f>
        <v>8.1699999999999991E-4</v>
      </c>
      <c r="D4" s="1" cm="1">
        <f t="array" aca="1" ref="D4" ca="1">_FV(A4,"Preço")</f>
        <v>49</v>
      </c>
      <c r="E4" s="7">
        <v>46.36</v>
      </c>
      <c r="F4" s="5">
        <f t="shared" ca="1" si="0"/>
        <v>5.6945642795513389E-2</v>
      </c>
      <c r="G4" s="8">
        <v>500</v>
      </c>
      <c r="H4" s="7">
        <f>Tabela4[[#This Row],[Nº AÇÕES ]]*Tabela4[[#This Row],[COMPRA]]</f>
        <v>23180</v>
      </c>
      <c r="I4" s="6">
        <f ca="1">Tabela4[[#This Row],[Nº AÇÕES ]]*Tabela4[[#This Row],[VALOR ]]</f>
        <v>24500</v>
      </c>
      <c r="J4" s="1">
        <f ca="1">Tabela4[[#This Row],[VAL. ATUAL]]-Tabela4[[#This Row],[VAL. INVEST.]]</f>
        <v>1320</v>
      </c>
    </row>
    <row r="5" spans="1:10" x14ac:dyDescent="0.3">
      <c r="A5" s="8" t="e" vm="4">
        <v>#VALUE!</v>
      </c>
      <c r="B5" t="s">
        <v>15</v>
      </c>
      <c r="C5" s="2" cm="1">
        <f t="array" aca="1" ref="C5" ca="1">_FV(A5,"Variação (%)",TRUE)</f>
        <v>1.8144E-2</v>
      </c>
      <c r="D5" s="1" cm="1">
        <f t="array" aca="1" ref="D5" ca="1">_FV(A5,"Preço")</f>
        <v>14.59</v>
      </c>
      <c r="E5" s="7">
        <v>13.22</v>
      </c>
      <c r="F5" s="5">
        <f t="shared" ca="1" si="0"/>
        <v>0.10363086232980326</v>
      </c>
      <c r="G5" s="8">
        <v>900</v>
      </c>
      <c r="H5" s="7">
        <f>Tabela4[[#This Row],[Nº AÇÕES ]]*Tabela4[[#This Row],[COMPRA]]</f>
        <v>11898</v>
      </c>
      <c r="I5" s="6">
        <f ca="1">Tabela4[[#This Row],[Nº AÇÕES ]]*Tabela4[[#This Row],[VALOR ]]</f>
        <v>13131</v>
      </c>
      <c r="J5" s="1">
        <f ca="1">Tabela4[[#This Row],[VAL. ATUAL]]-Tabela4[[#This Row],[VAL. INVEST.]]</f>
        <v>1233</v>
      </c>
    </row>
    <row r="6" spans="1:10" x14ac:dyDescent="0.3">
      <c r="A6" s="8">
        <f>SUBTOTAL(103,Tabela4[AÇÃO])</f>
        <v>4</v>
      </c>
      <c r="B6" s="8">
        <v>4</v>
      </c>
      <c r="C6" s="2"/>
      <c r="D6" s="1"/>
      <c r="E6" s="7"/>
      <c r="F6" s="5">
        <f ca="1">SUM(Tabela4[RENT])</f>
        <v>0.12009900768934265</v>
      </c>
      <c r="G6" s="8"/>
      <c r="H6" s="7">
        <f>SUBTOTAL(109,Tabela4[VAL. INVEST.])</f>
        <v>69851</v>
      </c>
      <c r="I6" s="6">
        <f ca="1">SUBTOTAL(109,Tabela4[VAL. ATUAL])</f>
        <v>72278</v>
      </c>
      <c r="J6" s="1">
        <f ca="1">SUM(Tabela4[LUCRO/PERDA])</f>
        <v>2427.0000000000018</v>
      </c>
    </row>
    <row r="7" spans="1:10" x14ac:dyDescent="0.3">
      <c r="H7" s="3"/>
      <c r="I7" s="1"/>
    </row>
    <row r="8" spans="1:10" x14ac:dyDescent="0.3">
      <c r="H8" s="3"/>
      <c r="I8" s="1"/>
    </row>
    <row r="9" spans="1:10" x14ac:dyDescent="0.3">
      <c r="H9" s="3"/>
      <c r="I9" s="1"/>
    </row>
    <row r="10" spans="1:10" x14ac:dyDescent="0.3">
      <c r="H10" s="3"/>
      <c r="I10" s="1"/>
    </row>
    <row r="11" spans="1:10" x14ac:dyDescent="0.3">
      <c r="H11" s="3"/>
      <c r="I11" s="1"/>
    </row>
  </sheetData>
  <conditionalFormatting sqref="C2:C5 J2:J1048576">
    <cfRule type="cellIs" dxfId="33" priority="6" operator="lessThan">
      <formula>0</formula>
    </cfRule>
    <cfRule type="cellIs" dxfId="32" priority="7" operator="greaterThan">
      <formula>0.00001</formula>
    </cfRule>
  </conditionalFormatting>
  <conditionalFormatting sqref="F2:F5">
    <cfRule type="cellIs" dxfId="31" priority="4" operator="lessThan">
      <formula>0</formula>
    </cfRule>
    <cfRule type="cellIs" dxfId="30" priority="5" operator="greaterThan">
      <formula>0.00001</formula>
    </cfRule>
  </conditionalFormatting>
  <pageMargins left="0.511811024" right="0.511811024" top="0.78740157499999996" bottom="0.78740157499999996" header="0.31496062000000002" footer="0.31496062000000002"/>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D87EE-C0B3-4DF0-925A-BBB38B55E6FA}">
  <sheetPr codeName="Planilha2"/>
  <dimension ref="A1:K37"/>
  <sheetViews>
    <sheetView topLeftCell="A18" workbookViewId="0">
      <selection activeCell="L31" sqref="L31"/>
    </sheetView>
  </sheetViews>
  <sheetFormatPr defaultRowHeight="14.4" x14ac:dyDescent="0.3"/>
  <cols>
    <col min="2" max="2" width="54.5546875" bestFit="1" customWidth="1"/>
    <col min="3" max="3" width="10.88671875" bestFit="1" customWidth="1"/>
    <col min="4" max="4" width="10.44140625" bestFit="1" customWidth="1"/>
    <col min="5" max="5" width="16.6640625" bestFit="1" customWidth="1"/>
    <col min="6" max="6" width="12.33203125" bestFit="1" customWidth="1"/>
    <col min="7" max="7" width="12.5546875" customWidth="1"/>
    <col min="8" max="8" width="14.44140625" customWidth="1"/>
    <col min="9" max="9" width="13" customWidth="1"/>
    <col min="10" max="10" width="12.44140625" bestFit="1" customWidth="1"/>
    <col min="11" max="11" width="15.33203125" bestFit="1" customWidth="1"/>
  </cols>
  <sheetData>
    <row r="1" spans="1:11" x14ac:dyDescent="0.3">
      <c r="A1" t="s">
        <v>16</v>
      </c>
      <c r="B1" s="13" t="s">
        <v>11</v>
      </c>
      <c r="C1" s="4" t="s">
        <v>17</v>
      </c>
      <c r="D1" s="4" t="s">
        <v>18</v>
      </c>
      <c r="E1" s="4" t="s">
        <v>19</v>
      </c>
      <c r="F1" s="14" t="s">
        <v>3</v>
      </c>
      <c r="G1" s="9" t="s">
        <v>4</v>
      </c>
      <c r="H1" s="4" t="s">
        <v>7</v>
      </c>
      <c r="I1" s="9" t="s">
        <v>8</v>
      </c>
      <c r="J1" s="4" t="s">
        <v>9</v>
      </c>
      <c r="K1" s="15" t="s">
        <v>10</v>
      </c>
    </row>
    <row r="2" spans="1:11" x14ac:dyDescent="0.3">
      <c r="A2" s="16">
        <v>46125</v>
      </c>
      <c r="B2" t="e" vm="3">
        <v>#VALUE!</v>
      </c>
      <c r="C2" s="1" cm="1">
        <f t="array" aca="1" ref="C2" ca="1">_FV(Tabela5[[#This Row],[COD AÇÃO]],"Variação")</f>
        <v>0.04</v>
      </c>
      <c r="D2" s="1" cm="1">
        <f t="array" aca="1" ref="D2" ca="1">_FV(Tabela5[[#This Row],[COD AÇÃO]],"Preço")</f>
        <v>49</v>
      </c>
      <c r="E2" s="35">
        <f ca="1">Tabela5[[#This Row],[Preço]]</f>
        <v>49</v>
      </c>
      <c r="F2" s="3">
        <v>49.68</v>
      </c>
      <c r="G2" s="2">
        <f ca="1">(D2-F2)/F2</f>
        <v>-1.3687600644122378E-2</v>
      </c>
      <c r="H2">
        <v>10</v>
      </c>
      <c r="I2" s="3">
        <f>Tabela5[[#This Row],[Nº AÇÕES ]]*Tabela5[[#This Row],[COMPRA]]</f>
        <v>496.8</v>
      </c>
      <c r="J2" s="1">
        <f ca="1">Tabela5[[#This Row],[Nº AÇÕES ]]*Tabela5[[#This Row],[Preço]]</f>
        <v>490</v>
      </c>
      <c r="K2" s="1">
        <f ca="1">Tabela5[[#This Row],[VAL. ATUAL]]-Tabela5[[#This Row],[VAL. INVEST.]]</f>
        <v>-6.8000000000000114</v>
      </c>
    </row>
    <row r="3" spans="1:11" x14ac:dyDescent="0.3">
      <c r="A3" s="16">
        <v>46125</v>
      </c>
      <c r="B3" t="e" vm="2">
        <v>#VALUE!</v>
      </c>
      <c r="C3" s="1" cm="1">
        <f t="array" aca="1" ref="C3" ca="1">_FV(Tabela5[[#This Row],[COD AÇÃO]],"Variação")</f>
        <v>2.0299999999999998</v>
      </c>
      <c r="D3" s="1" cm="1">
        <f t="array" aca="1" ref="D3" ca="1">_FV(Tabela5[[#This Row],[COD AÇÃO]],"Preço")</f>
        <v>81.47</v>
      </c>
      <c r="E3" s="35">
        <f ca="1">Tabela5[[#This Row],[Preço]]</f>
        <v>81.47</v>
      </c>
      <c r="F3" s="3">
        <v>87.68</v>
      </c>
      <c r="G3" s="2">
        <f ca="1">(D3-F3)/F3</f>
        <v>-7.0825729927007391E-2</v>
      </c>
      <c r="H3">
        <v>10</v>
      </c>
      <c r="I3" s="3">
        <f>Tabela5[[#This Row],[Nº AÇÕES ]]*Tabela5[[#This Row],[COMPRA]]</f>
        <v>876.80000000000007</v>
      </c>
      <c r="J3" s="1">
        <f ca="1">Tabela5[[#This Row],[Nº AÇÕES ]]*Tabela5[[#This Row],[Preço]]</f>
        <v>814.7</v>
      </c>
      <c r="K3" s="1">
        <f ca="1">Tabela5[[#This Row],[VAL. ATUAL]]-Tabela5[[#This Row],[VAL. INVEST.]]</f>
        <v>-62.100000000000023</v>
      </c>
    </row>
    <row r="4" spans="1:11" x14ac:dyDescent="0.3">
      <c r="A4" s="16">
        <v>46125</v>
      </c>
      <c r="B4" t="e" vm="5">
        <v>#VALUE!</v>
      </c>
      <c r="C4" s="1" cm="1">
        <f t="array" aca="1" ref="C4" ca="1">_FV(Tabela5[[#This Row],[COD AÇÃO]],"Variação")</f>
        <v>0.53</v>
      </c>
      <c r="D4" s="1" cm="1">
        <f t="array" aca="1" ref="D4" ca="1">_FV(Tabela5[[#This Row],[COD AÇÃO]],"Preço")</f>
        <v>22.24</v>
      </c>
      <c r="E4" s="35">
        <f ca="1">Tabela5[[#This Row],[Preço]]</f>
        <v>22.24</v>
      </c>
      <c r="F4" s="3">
        <v>24.6</v>
      </c>
      <c r="G4" s="2">
        <f ca="1">(D4-F4)/F4</f>
        <v>-9.5934959349593618E-2</v>
      </c>
      <c r="H4">
        <v>26</v>
      </c>
      <c r="I4" s="3">
        <f>Tabela5[[#This Row],[Nº AÇÕES ]]*Tabela5[[#This Row],[COMPRA]]</f>
        <v>639.6</v>
      </c>
      <c r="J4" s="1">
        <f ca="1">Tabela5[[#This Row],[Nº AÇÕES ]]*Tabela5[[#This Row],[Preço]]</f>
        <v>578.24</v>
      </c>
      <c r="K4" s="1">
        <f ca="1">Tabela5[[#This Row],[VAL. ATUAL]]-Tabela5[[#This Row],[VAL. INVEST.]]</f>
        <v>-61.360000000000014</v>
      </c>
    </row>
    <row r="5" spans="1:11" x14ac:dyDescent="0.3">
      <c r="A5" s="16">
        <v>46125</v>
      </c>
      <c r="B5" t="e" vm="4">
        <v>#VALUE!</v>
      </c>
      <c r="C5" s="1" cm="1">
        <f t="array" aca="1" ref="C5" ca="1">_FV(Tabela5[[#This Row],[COD AÇÃO]],"Variação")</f>
        <v>0.26</v>
      </c>
      <c r="D5" s="1" cm="1">
        <f t="array" aca="1" ref="D5" ca="1">_FV(Tabela5[[#This Row],[COD AÇÃO]],"Preço")</f>
        <v>14.59</v>
      </c>
      <c r="E5" s="35">
        <f ca="1">Tabela5[[#This Row],[Preço]]</f>
        <v>14.59</v>
      </c>
      <c r="F5" s="3">
        <v>15.86</v>
      </c>
      <c r="G5" s="2">
        <f ca="1">(D5-F5)/F5</f>
        <v>-8.007566204287514E-2</v>
      </c>
      <c r="H5">
        <v>19</v>
      </c>
      <c r="I5" s="3">
        <f>Tabela5[[#This Row],[Nº AÇÕES ]]*Tabela5[[#This Row],[COMPRA]]</f>
        <v>301.33999999999997</v>
      </c>
      <c r="J5" s="1">
        <f ca="1">Tabela5[[#This Row],[Nº AÇÕES ]]*Tabela5[[#This Row],[Preço]]</f>
        <v>277.20999999999998</v>
      </c>
      <c r="K5" s="1">
        <f ca="1">Tabela5[[#This Row],[VAL. ATUAL]]-Tabela5[[#This Row],[VAL. INVEST.]]</f>
        <v>-24.129999999999995</v>
      </c>
    </row>
    <row r="6" spans="1:11" x14ac:dyDescent="0.3">
      <c r="A6" s="16">
        <v>46125</v>
      </c>
      <c r="B6" t="e" vm="6">
        <v>#VALUE!</v>
      </c>
      <c r="C6" s="1" cm="1">
        <f t="array" aca="1" ref="C6" ca="1">_FV(Tabela5[[#This Row],[COD AÇÃO]],"Variação")</f>
        <v>0.04</v>
      </c>
      <c r="D6" s="1" cm="1">
        <f t="array" aca="1" ref="D6" ca="1">_FV(Tabela5[[#This Row],[COD AÇÃO]],"Preço")</f>
        <v>7.94</v>
      </c>
      <c r="E6" s="35">
        <f ca="1">Tabela5[[#This Row],[Preço]]</f>
        <v>7.94</v>
      </c>
      <c r="F6" s="3">
        <v>8.1199999999999992</v>
      </c>
      <c r="G6" s="2">
        <f ca="1">(D6-F6)/F6</f>
        <v>-2.2167487684728922E-2</v>
      </c>
      <c r="H6">
        <v>44</v>
      </c>
      <c r="I6" s="3">
        <f>Tabela5[[#This Row],[Nº AÇÕES ]]*Tabela5[[#This Row],[COMPRA]]</f>
        <v>357.28</v>
      </c>
      <c r="J6" s="1">
        <f ca="1">Tabela5[[#This Row],[Nº AÇÕES ]]*Tabela5[[#This Row],[Preço]]</f>
        <v>349.36</v>
      </c>
      <c r="K6" s="1">
        <f ca="1">Tabela5[[#This Row],[VAL. ATUAL]]-Tabela5[[#This Row],[VAL. INVEST.]]</f>
        <v>-7.9199999999999591</v>
      </c>
    </row>
    <row r="7" spans="1:11" x14ac:dyDescent="0.3">
      <c r="B7">
        <f>SUBTOTAL(103,Tabela5[COD AÇÃO])</f>
        <v>5</v>
      </c>
      <c r="C7" s="1"/>
      <c r="D7" s="1"/>
      <c r="E7" s="1"/>
      <c r="F7" s="3"/>
      <c r="G7" s="2">
        <f ca="1">SUBTOTAL(109,Tabela5[RENT])</f>
        <v>-0.28269143964832744</v>
      </c>
      <c r="I7" s="3">
        <f>SUBTOTAL(109,Tabela5[VAL. INVEST.])</f>
        <v>2671.8200000000006</v>
      </c>
      <c r="J7" s="1">
        <f ca="1">SUBTOTAL(109,Tabela5[VAL. ATUAL])</f>
        <v>2509.5100000000002</v>
      </c>
      <c r="K7" s="1">
        <f ca="1">SUM(Tabela5[LUCRO/PERDA])</f>
        <v>-162.31</v>
      </c>
    </row>
    <row r="9" spans="1:11" ht="6" customHeight="1" x14ac:dyDescent="0.3"/>
    <row r="10" spans="1:11" ht="6" customHeight="1" x14ac:dyDescent="0.3"/>
    <row r="11" spans="1:11" ht="6" customHeight="1" x14ac:dyDescent="0.3"/>
    <row r="13" spans="1:11" x14ac:dyDescent="0.3">
      <c r="A13" s="10" t="s">
        <v>16</v>
      </c>
      <c r="B13" s="17" t="s">
        <v>11</v>
      </c>
      <c r="C13" s="10" t="s">
        <v>17</v>
      </c>
      <c r="D13" s="10" t="s">
        <v>18</v>
      </c>
      <c r="E13" s="10" t="s">
        <v>19</v>
      </c>
      <c r="F13" s="11" t="s">
        <v>3</v>
      </c>
      <c r="G13" s="12" t="s">
        <v>4</v>
      </c>
      <c r="H13" s="10" t="s">
        <v>7</v>
      </c>
      <c r="I13" s="12" t="s">
        <v>8</v>
      </c>
      <c r="J13" s="10" t="s">
        <v>9</v>
      </c>
      <c r="K13" s="10" t="s">
        <v>10</v>
      </c>
    </row>
    <row r="14" spans="1:11" x14ac:dyDescent="0.3">
      <c r="A14" s="18">
        <v>46125</v>
      </c>
      <c r="B14" s="8" t="e" vm="7">
        <v>#VALUE!</v>
      </c>
      <c r="C14" s="19" cm="1">
        <f t="array" aca="1" ref="C14" ca="1">_FV(B14,"Variação")</f>
        <v>1.0355000000000001</v>
      </c>
      <c r="D14" s="19" cm="1">
        <f t="array" aca="1" ref="D14" ca="1">_FV(B14,"Preço")</f>
        <v>64.055000000000007</v>
      </c>
      <c r="E14" s="36">
        <f ca="1">D14*CAMBIO!$C$2</f>
        <v>317.32847000000004</v>
      </c>
      <c r="F14" s="21">
        <v>63.73</v>
      </c>
      <c r="G14" s="5">
        <f ca="1">(D14-F14)/F14</f>
        <v>5.0996391024636743E-3</v>
      </c>
      <c r="H14" s="22">
        <v>20.228169999999999</v>
      </c>
      <c r="I14" s="21">
        <v>1293.3900000000001</v>
      </c>
      <c r="J14" s="21">
        <f ca="1">H14*D14</f>
        <v>1295.71542935</v>
      </c>
      <c r="K14" s="21">
        <f ca="1">J14-I14</f>
        <v>2.3254293499999221</v>
      </c>
    </row>
    <row r="15" spans="1:11" x14ac:dyDescent="0.3">
      <c r="A15" s="18"/>
      <c r="B15" s="8">
        <f>SUBTOTAL(103,Tabela6[COD AÇÃO])</f>
        <v>1</v>
      </c>
      <c r="C15" s="19"/>
      <c r="D15" s="19"/>
      <c r="E15" s="19"/>
      <c r="F15" s="20"/>
      <c r="G15" s="5">
        <f ca="1">SUBTOTAL(109,Tabela6[RENT])</f>
        <v>5.0996391024636743E-3</v>
      </c>
      <c r="H15" s="8"/>
      <c r="I15" s="21"/>
      <c r="J15" s="21"/>
      <c r="K15" s="21">
        <f ca="1">SUM(Tabela6[LUCRO/PERDA])</f>
        <v>2.3254293499999221</v>
      </c>
    </row>
    <row r="17" spans="1:11" ht="3.6" customHeight="1" x14ac:dyDescent="0.3"/>
    <row r="19" spans="1:11" x14ac:dyDescent="0.3">
      <c r="A19" s="26" t="s">
        <v>16</v>
      </c>
      <c r="B19" s="23" t="s">
        <v>11</v>
      </c>
      <c r="C19" s="23" t="s">
        <v>17</v>
      </c>
      <c r="D19" s="23" t="s">
        <v>18</v>
      </c>
      <c r="E19" s="34" t="s">
        <v>19</v>
      </c>
      <c r="F19" s="24" t="s">
        <v>3</v>
      </c>
      <c r="G19" s="25" t="s">
        <v>4</v>
      </c>
      <c r="H19" s="23" t="s">
        <v>7</v>
      </c>
      <c r="I19" s="25" t="s">
        <v>8</v>
      </c>
      <c r="J19" s="33" t="s">
        <v>9</v>
      </c>
      <c r="K19" s="33" t="s">
        <v>10</v>
      </c>
    </row>
    <row r="20" spans="1:11" x14ac:dyDescent="0.3">
      <c r="A20" s="31">
        <v>46131</v>
      </c>
      <c r="B20" s="27" t="e" vm="8">
        <v>#VALUE!</v>
      </c>
      <c r="C20" s="28" cm="1">
        <f t="array" aca="1" ref="C20" ca="1">_FV(B20,"Variação")</f>
        <v>2.5</v>
      </c>
      <c r="D20" s="28" cm="1">
        <f t="array" aca="1" ref="D20" ca="1">_FV(B20,"Preço")</f>
        <v>396.33</v>
      </c>
      <c r="E20" s="37">
        <f ca="1">D20*CAMBIO!$C$2</f>
        <v>1963.4188199999999</v>
      </c>
      <c r="F20" s="29">
        <v>375.1</v>
      </c>
      <c r="G20" s="30">
        <f ca="1">IFERROR((D20-F20)/F20,"")</f>
        <v>5.6598240469208104E-2</v>
      </c>
      <c r="H20" s="27">
        <v>1</v>
      </c>
      <c r="I20" s="29">
        <f t="shared" ref="I20:I26" si="0">H20*F20</f>
        <v>375.1</v>
      </c>
      <c r="J20" s="32">
        <f t="shared" ref="J20:J26" ca="1" si="1">IFERROR(H20*D20,"")</f>
        <v>396.33</v>
      </c>
      <c r="K20" s="32">
        <f t="shared" ref="K20:K26" ca="1" si="2">IFERROR(J20-I20,"")</f>
        <v>21.229999999999961</v>
      </c>
    </row>
    <row r="21" spans="1:11" x14ac:dyDescent="0.3">
      <c r="A21" s="31">
        <v>46131</v>
      </c>
      <c r="B21" s="27" t="e" vm="9">
        <v>#VALUE!</v>
      </c>
      <c r="C21" s="28" cm="1">
        <f t="array" aca="1" ref="C21" ca="1">_FV(B21,"Variação")</f>
        <v>2.0299999999999998</v>
      </c>
      <c r="D21" s="28" cm="1">
        <f t="array" aca="1" ref="D21" ca="1">_FV(B21,"Preço")</f>
        <v>132.46</v>
      </c>
      <c r="E21" s="37">
        <f ca="1">D21*CAMBIO!$C$2</f>
        <v>656.20684000000006</v>
      </c>
      <c r="F21" s="29">
        <v>133.28</v>
      </c>
      <c r="G21" s="30">
        <f t="shared" ref="G21:G24" ca="1" si="3">IFERROR((D21-F21)/F21,"")</f>
        <v>-6.1524609843937065E-3</v>
      </c>
      <c r="H21" s="27">
        <v>1</v>
      </c>
      <c r="I21" s="29">
        <f t="shared" si="0"/>
        <v>133.28</v>
      </c>
      <c r="J21" s="32">
        <f t="shared" ca="1" si="1"/>
        <v>132.46</v>
      </c>
      <c r="K21" s="32">
        <f t="shared" ca="1" si="2"/>
        <v>-0.81999999999999318</v>
      </c>
    </row>
    <row r="22" spans="1:11" x14ac:dyDescent="0.3">
      <c r="A22" s="31">
        <v>46131</v>
      </c>
      <c r="B22" s="27" t="e" vm="10">
        <v>#VALUE!</v>
      </c>
      <c r="C22" s="28" cm="1">
        <f t="array" aca="1" ref="C22" ca="1">_FV(B22,"Variação")</f>
        <v>0.47</v>
      </c>
      <c r="D22" s="28" cm="1">
        <f t="array" aca="1" ref="D22" ca="1">_FV(B22,"Preço")</f>
        <v>60.74</v>
      </c>
      <c r="E22" s="37">
        <f ca="1">D22*CAMBIO!$C$2</f>
        <v>300.90595999999999</v>
      </c>
      <c r="F22" s="29">
        <v>63.61</v>
      </c>
      <c r="G22" s="30">
        <f t="shared" ca="1" si="3"/>
        <v>-4.5118692029555062E-2</v>
      </c>
      <c r="H22" s="27">
        <v>1</v>
      </c>
      <c r="I22" s="29">
        <f t="shared" si="0"/>
        <v>63.61</v>
      </c>
      <c r="J22" s="32">
        <f t="shared" ca="1" si="1"/>
        <v>60.74</v>
      </c>
      <c r="K22" s="32">
        <f t="shared" ca="1" si="2"/>
        <v>-2.8699999999999974</v>
      </c>
    </row>
    <row r="23" spans="1:11" x14ac:dyDescent="0.3">
      <c r="A23" s="31">
        <v>46131</v>
      </c>
      <c r="B23" s="27" t="e" vm="11">
        <v>#VALUE!</v>
      </c>
      <c r="C23" s="28" cm="1">
        <f t="array" aca="1" ref="C23" ca="1">_FV(B23,"Variação")</f>
        <v>3.09</v>
      </c>
      <c r="D23" s="28" cm="1">
        <f t="array" aca="1" ref="D23" ca="1">_FV(B23,"Preço")</f>
        <v>100.76</v>
      </c>
      <c r="E23" s="37">
        <f ca="1">D23*CAMBIO!$C$2</f>
        <v>499.16503999999998</v>
      </c>
      <c r="F23" s="29">
        <v>101.97</v>
      </c>
      <c r="G23" s="30">
        <f t="shared" ca="1" si="3"/>
        <v>-1.1866235167205979E-2</v>
      </c>
      <c r="H23" s="27">
        <v>1</v>
      </c>
      <c r="I23" s="29">
        <f t="shared" si="0"/>
        <v>101.97</v>
      </c>
      <c r="J23" s="32">
        <f t="shared" ca="1" si="1"/>
        <v>100.76</v>
      </c>
      <c r="K23" s="32">
        <f t="shared" ca="1" si="2"/>
        <v>-1.2099999999999937</v>
      </c>
    </row>
    <row r="24" spans="1:11" x14ac:dyDescent="0.3">
      <c r="A24" s="31">
        <v>46131</v>
      </c>
      <c r="B24" s="27" t="e" vm="12">
        <v>#VALUE!</v>
      </c>
      <c r="C24" s="28" cm="1">
        <f t="array" aca="1" ref="C24" ca="1">_FV(B24,"Variação")</f>
        <v>0.375</v>
      </c>
      <c r="D24" s="28" cm="1">
        <f t="array" aca="1" ref="D24" ca="1">_FV(B24,"Preço")</f>
        <v>20.155000000000001</v>
      </c>
      <c r="E24" s="37">
        <f ca="1">D24*CAMBIO!$C$2</f>
        <v>99.84787</v>
      </c>
      <c r="F24" s="29">
        <v>21.28</v>
      </c>
      <c r="G24" s="30">
        <f t="shared" ca="1" si="3"/>
        <v>-5.2866541353383457E-2</v>
      </c>
      <c r="H24" s="27">
        <v>1</v>
      </c>
      <c r="I24" s="29">
        <f t="shared" si="0"/>
        <v>21.28</v>
      </c>
      <c r="J24" s="32">
        <f t="shared" ca="1" si="1"/>
        <v>20.155000000000001</v>
      </c>
      <c r="K24" s="32">
        <f t="shared" ca="1" si="2"/>
        <v>-1.125</v>
      </c>
    </row>
    <row r="25" spans="1:11" x14ac:dyDescent="0.3">
      <c r="A25" s="53">
        <v>46132</v>
      </c>
      <c r="B25" s="27" t="e" vm="13">
        <v>#VALUE!</v>
      </c>
      <c r="C25" s="28" cm="1">
        <f t="array" aca="1" ref="C25" ca="1">_FV(B25,"Variação")</f>
        <v>74.790000000000006</v>
      </c>
      <c r="D25" s="28" cm="1">
        <f t="array" aca="1" ref="D25" ca="1">_FV(B25,"Preço")</f>
        <v>140</v>
      </c>
      <c r="E25" s="37">
        <f ca="1">D25*CAMBIO!$C$2</f>
        <v>693.56</v>
      </c>
      <c r="F25" s="28">
        <v>140</v>
      </c>
      <c r="G25" s="30">
        <f ca="1">IFERROR((D25-F25)/F25,"")</f>
        <v>0</v>
      </c>
      <c r="H25" s="27">
        <v>1</v>
      </c>
      <c r="I25" s="28">
        <f t="shared" si="0"/>
        <v>140</v>
      </c>
      <c r="J25" s="54">
        <f t="shared" ca="1" si="1"/>
        <v>140</v>
      </c>
      <c r="K25" s="54">
        <f t="shared" ca="1" si="2"/>
        <v>0</v>
      </c>
    </row>
    <row r="26" spans="1:11" x14ac:dyDescent="0.3">
      <c r="A26" s="53">
        <v>46132</v>
      </c>
      <c r="B26" s="27" t="e" vm="14">
        <v>#VALUE!</v>
      </c>
      <c r="C26" s="28" cm="1">
        <f t="array" aca="1" ref="C26" ca="1">_FV(B26,"Variação")</f>
        <v>1E-4</v>
      </c>
      <c r="D26" s="28" cm="1">
        <f t="array" aca="1" ref="D26" ca="1">_FV(B26,"Preço")</f>
        <v>1.1385000000000001</v>
      </c>
      <c r="E26" s="37">
        <f ca="1">D26*CAMBIO!$C$2</f>
        <v>5.6401289999999999</v>
      </c>
      <c r="F26" s="28">
        <v>1.1371</v>
      </c>
      <c r="G26" s="30">
        <f ca="1">IFERROR((D26-F26)/F26,"")</f>
        <v>1.2312021809867803E-3</v>
      </c>
      <c r="H26" s="27">
        <v>1</v>
      </c>
      <c r="I26" s="28">
        <f t="shared" si="0"/>
        <v>1.1371</v>
      </c>
      <c r="J26" s="54">
        <f t="shared" ca="1" si="1"/>
        <v>1.1385000000000001</v>
      </c>
      <c r="K26" s="54">
        <f t="shared" ca="1" si="2"/>
        <v>1.4000000000000679E-3</v>
      </c>
    </row>
    <row r="27" spans="1:11" x14ac:dyDescent="0.3">
      <c r="A27" s="47"/>
      <c r="B27" s="48">
        <f>SUBTOTAL(103,B20:B26)</f>
        <v>7</v>
      </c>
      <c r="C27" s="49"/>
      <c r="D27" s="49">
        <f ca="1">SUM(D20:D26)</f>
        <v>851.58349999999996</v>
      </c>
      <c r="E27" s="49">
        <f ca="1">SUM(E20:E26)</f>
        <v>4218.744659</v>
      </c>
      <c r="F27" s="50"/>
      <c r="G27" s="38">
        <f ca="1">IFERROR(SUBTOTAL(109,G20:G26),"")</f>
        <v>-5.8174486884343318E-2</v>
      </c>
      <c r="H27" s="48"/>
      <c r="I27" s="51">
        <f>SUM(I20:I26)</f>
        <v>836.37710000000004</v>
      </c>
      <c r="J27" s="51">
        <f ca="1">SUM(J20:J26)</f>
        <v>851.58349999999996</v>
      </c>
      <c r="K27" s="52">
        <f ca="1">IFERROR(SUM(K20:K26),"")</f>
        <v>15.206399999999977</v>
      </c>
    </row>
    <row r="30" spans="1:11" x14ac:dyDescent="0.3">
      <c r="A30" s="26" t="s">
        <v>16</v>
      </c>
      <c r="B30" s="62" t="s">
        <v>28</v>
      </c>
      <c r="C30" s="23" t="s">
        <v>17</v>
      </c>
      <c r="D30" s="23" t="s">
        <v>18</v>
      </c>
      <c r="E30" s="34" t="s">
        <v>19</v>
      </c>
      <c r="F30" s="24" t="s">
        <v>3</v>
      </c>
      <c r="G30" s="25" t="s">
        <v>4</v>
      </c>
      <c r="H30" s="23" t="s">
        <v>7</v>
      </c>
      <c r="I30" s="25" t="s">
        <v>8</v>
      </c>
      <c r="J30" s="33" t="s">
        <v>9</v>
      </c>
      <c r="K30" s="33" t="s">
        <v>10</v>
      </c>
    </row>
    <row r="31" spans="1:11" x14ac:dyDescent="0.3">
      <c r="A31" s="41">
        <v>46132</v>
      </c>
      <c r="B31" s="8" t="e" vm="15">
        <v>#VALUE!</v>
      </c>
      <c r="C31" s="6" cm="1">
        <f t="array" aca="1" ref="C31" ca="1">_FV(B31,"Variação")</f>
        <v>0.48</v>
      </c>
      <c r="D31" s="6" cm="1">
        <f t="array" aca="1" ref="D31" ca="1">_FV(B31,"Preço")</f>
        <v>21.63</v>
      </c>
      <c r="E31" s="36">
        <f t="shared" ref="E31:E36" ca="1" si="4">D31</f>
        <v>21.63</v>
      </c>
      <c r="F31" s="6">
        <v>21.9</v>
      </c>
      <c r="G31" s="5">
        <f t="shared" ref="G31:G36" ca="1" si="5">IFERROR((D31-F31)/F31,"")</f>
        <v>-1.2328767123287652E-2</v>
      </c>
      <c r="H31" s="8">
        <v>20</v>
      </c>
      <c r="I31" s="6">
        <f t="shared" ref="I31:I36" si="6">H31*F31</f>
        <v>438</v>
      </c>
      <c r="J31" s="6">
        <f t="shared" ref="J31:J36" ca="1" si="7">IFERROR(H31*D31,"")</f>
        <v>432.59999999999997</v>
      </c>
      <c r="K31" s="42">
        <f t="shared" ref="K31:K36" ca="1" si="8">IFERROR(J31-I31,"")</f>
        <v>-5.4000000000000341</v>
      </c>
    </row>
    <row r="32" spans="1:11" x14ac:dyDescent="0.3">
      <c r="A32" s="41">
        <v>46132</v>
      </c>
      <c r="B32" s="8" t="e" vm="16">
        <v>#VALUE!</v>
      </c>
      <c r="C32" s="6" cm="1">
        <f t="array" aca="1" ref="C32" ca="1">_FV(B32,"Variação")</f>
        <v>0.8</v>
      </c>
      <c r="D32" s="6" cm="1">
        <f t="array" aca="1" ref="D32" ca="1">_FV(B32,"Preço")</f>
        <v>25.75</v>
      </c>
      <c r="E32" s="36">
        <f t="shared" ca="1" si="4"/>
        <v>25.75</v>
      </c>
      <c r="F32" s="6">
        <v>27.28</v>
      </c>
      <c r="G32" s="5">
        <f t="shared" ca="1" si="5"/>
        <v>-5.6085043988269835E-2</v>
      </c>
      <c r="H32" s="8">
        <v>0</v>
      </c>
      <c r="I32" s="6">
        <f t="shared" si="6"/>
        <v>0</v>
      </c>
      <c r="J32" s="6">
        <f t="shared" ca="1" si="7"/>
        <v>0</v>
      </c>
      <c r="K32" s="42">
        <f t="shared" ca="1" si="8"/>
        <v>0</v>
      </c>
    </row>
    <row r="33" spans="1:11" x14ac:dyDescent="0.3">
      <c r="A33" s="41">
        <v>46132</v>
      </c>
      <c r="B33" s="8" t="e" vm="17">
        <v>#VALUE!</v>
      </c>
      <c r="C33" s="6" cm="1">
        <f t="array" aca="1" ref="C33" ca="1">_FV(B33,"Variação")</f>
        <v>0.32</v>
      </c>
      <c r="D33" s="6" cm="1">
        <f t="array" aca="1" ref="D33" ca="1">_FV(B33,"Preço")</f>
        <v>11.17</v>
      </c>
      <c r="E33" s="36">
        <f t="shared" ca="1" si="4"/>
        <v>11.17</v>
      </c>
      <c r="F33" s="6">
        <v>12.71</v>
      </c>
      <c r="G33" s="5">
        <f t="shared" ca="1" si="5"/>
        <v>-0.12116443745082618</v>
      </c>
      <c r="H33" s="8">
        <v>0</v>
      </c>
      <c r="I33" s="6">
        <f t="shared" si="6"/>
        <v>0</v>
      </c>
      <c r="J33" s="6">
        <f t="shared" ca="1" si="7"/>
        <v>0</v>
      </c>
      <c r="K33" s="42">
        <f t="shared" ca="1" si="8"/>
        <v>0</v>
      </c>
    </row>
    <row r="34" spans="1:11" x14ac:dyDescent="0.3">
      <c r="A34" s="41">
        <v>46132</v>
      </c>
      <c r="B34" s="8" t="e" vm="18">
        <v>#VALUE!</v>
      </c>
      <c r="C34" s="6" cm="1">
        <f t="array" aca="1" ref="C34" ca="1">_FV(B34,"Variação")</f>
        <v>0.57999999999999996</v>
      </c>
      <c r="D34" s="6" cm="1">
        <f t="array" aca="1" ref="D34" ca="1">_FV(B34,"Preço")</f>
        <v>26.12</v>
      </c>
      <c r="E34" s="36">
        <f t="shared" ca="1" si="4"/>
        <v>26.12</v>
      </c>
      <c r="F34" s="6">
        <v>27.4</v>
      </c>
      <c r="G34" s="5">
        <f t="shared" ca="1" si="5"/>
        <v>-4.6715328467153198E-2</v>
      </c>
      <c r="H34" s="8">
        <v>5</v>
      </c>
      <c r="I34" s="6">
        <f t="shared" si="6"/>
        <v>137</v>
      </c>
      <c r="J34" s="6">
        <f t="shared" ca="1" si="7"/>
        <v>130.6</v>
      </c>
      <c r="K34" s="42">
        <f t="shared" ca="1" si="8"/>
        <v>-6.4000000000000057</v>
      </c>
    </row>
    <row r="35" spans="1:11" x14ac:dyDescent="0.3">
      <c r="A35" s="41">
        <v>46132</v>
      </c>
      <c r="B35" s="8" t="e" vm="19">
        <v>#VALUE!</v>
      </c>
      <c r="C35" s="6" cm="1">
        <f t="array" aca="1" ref="C35" ca="1">_FV(B35,"Variação")</f>
        <v>0.72</v>
      </c>
      <c r="D35" s="6" cm="1">
        <f t="array" aca="1" ref="D35" ca="1">_FV(B35,"Preço")</f>
        <v>30.04</v>
      </c>
      <c r="E35" s="36">
        <f t="shared" ca="1" si="4"/>
        <v>30.04</v>
      </c>
      <c r="F35" s="6">
        <v>34.6</v>
      </c>
      <c r="G35" s="5">
        <f t="shared" ca="1" si="5"/>
        <v>-0.13179190751445094</v>
      </c>
      <c r="H35" s="8">
        <v>5</v>
      </c>
      <c r="I35" s="6">
        <f t="shared" si="6"/>
        <v>173</v>
      </c>
      <c r="J35" s="6">
        <f t="shared" ca="1" si="7"/>
        <v>150.19999999999999</v>
      </c>
      <c r="K35" s="42">
        <f t="shared" ca="1" si="8"/>
        <v>-22.800000000000011</v>
      </c>
    </row>
    <row r="36" spans="1:11" ht="15" thickBot="1" x14ac:dyDescent="0.35">
      <c r="A36" s="41">
        <v>46132</v>
      </c>
      <c r="B36" s="8" t="e" vm="20">
        <v>#VALUE!</v>
      </c>
      <c r="C36" s="6" cm="1">
        <f t="array" aca="1" ref="C36" ca="1">_FV(B36,"Variação")</f>
        <v>0.21</v>
      </c>
      <c r="D36" s="6" cm="1">
        <f t="array" aca="1" ref="D36" ca="1">_FV(B36,"Preço")</f>
        <v>12.97</v>
      </c>
      <c r="E36" s="36">
        <f t="shared" ca="1" si="4"/>
        <v>12.97</v>
      </c>
      <c r="F36" s="6">
        <v>14.85</v>
      </c>
      <c r="G36" s="5">
        <f t="shared" ca="1" si="5"/>
        <v>-0.12659932659932654</v>
      </c>
      <c r="H36" s="8">
        <v>10</v>
      </c>
      <c r="I36" s="6">
        <f t="shared" si="6"/>
        <v>148.5</v>
      </c>
      <c r="J36" s="6">
        <f t="shared" ca="1" si="7"/>
        <v>129.70000000000002</v>
      </c>
      <c r="K36" s="42">
        <f t="shared" ca="1" si="8"/>
        <v>-18.799999999999983</v>
      </c>
    </row>
    <row r="37" spans="1:11" ht="15" thickTop="1" x14ac:dyDescent="0.3">
      <c r="A37" s="39"/>
      <c r="B37" s="40">
        <f>SUBTOTAL(103,B31:B36)</f>
        <v>6</v>
      </c>
      <c r="C37" s="43"/>
      <c r="D37" s="43">
        <f ca="1">SUM(D31:D36)</f>
        <v>127.68</v>
      </c>
      <c r="E37" s="43">
        <f ca="1">SUM(E31:E36)</f>
        <v>127.68</v>
      </c>
      <c r="F37" s="44"/>
      <c r="G37" s="45">
        <f ca="1">IFERROR(SUBTOTAL(109,G31:G36),"")</f>
        <v>-0.49468481114331436</v>
      </c>
      <c r="H37" s="40"/>
      <c r="I37" s="43">
        <f>SUM(I31:I36)</f>
        <v>896.5</v>
      </c>
      <c r="J37" s="43">
        <f ca="1">SUM(J31:J36)</f>
        <v>843.09999999999991</v>
      </c>
      <c r="K37" s="46">
        <f ca="1">IFERROR(SUM(K31:K36),"")</f>
        <v>-53.400000000000034</v>
      </c>
    </row>
  </sheetData>
  <conditionalFormatting sqref="G2:G7 F8:F12 G14:G15 F16:F26 F28:F30 F38:F1048576">
    <cfRule type="cellIs" dxfId="29" priority="41" operator="lessThan">
      <formula>0</formula>
    </cfRule>
    <cfRule type="cellIs" dxfId="28" priority="42" operator="greaterThan">
      <formula>0.001</formula>
    </cfRule>
  </conditionalFormatting>
  <conditionalFormatting sqref="G27">
    <cfRule type="cellIs" dxfId="27" priority="3" operator="lessThan">
      <formula>0</formula>
    </cfRule>
    <cfRule type="cellIs" dxfId="26" priority="4" operator="greaterThan">
      <formula>0.001</formula>
    </cfRule>
  </conditionalFormatting>
  <conditionalFormatting sqref="G31:G37">
    <cfRule type="cellIs" dxfId="25" priority="7" operator="lessThan">
      <formula>0</formula>
    </cfRule>
    <cfRule type="cellIs" dxfId="24" priority="8" operator="greaterThan">
      <formula>0.001</formula>
    </cfRule>
  </conditionalFormatting>
  <conditionalFormatting sqref="K2:K7 J8:J12 K14:K15 J16:J26 J28:J30 J38:J1048576">
    <cfRule type="cellIs" dxfId="23" priority="39" operator="lessThan">
      <formula>0</formula>
    </cfRule>
    <cfRule type="cellIs" dxfId="22" priority="40" operator="greaterThan">
      <formula>0.0001</formula>
    </cfRule>
  </conditionalFormatting>
  <conditionalFormatting sqref="K19:K27">
    <cfRule type="cellIs" dxfId="21" priority="1" operator="lessThan">
      <formula>0</formula>
    </cfRule>
    <cfRule type="cellIs" dxfId="20" priority="2" operator="greaterThan">
      <formula>0.0001</formula>
    </cfRule>
  </conditionalFormatting>
  <conditionalFormatting sqref="K30:K37">
    <cfRule type="cellIs" dxfId="19" priority="5" operator="lessThan">
      <formula>0</formula>
    </cfRule>
    <cfRule type="cellIs" dxfId="18" priority="6" operator="greaterThan">
      <formula>0.0001</formula>
    </cfRule>
  </conditionalFormatting>
  <pageMargins left="0.511811024" right="0.511811024" top="0.78740157499999996" bottom="0.78740157499999996" header="0.31496062000000002" footer="0.31496062000000002"/>
  <legacy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F556C-54CA-4C10-94A9-248229DEE542}">
  <dimension ref="A1:K71"/>
  <sheetViews>
    <sheetView topLeftCell="B4" workbookViewId="0">
      <selection activeCell="K4" sqref="K1:K1048576"/>
    </sheetView>
  </sheetViews>
  <sheetFormatPr defaultRowHeight="14.4" x14ac:dyDescent="0.3"/>
  <cols>
    <col min="1" max="1" width="36.5546875" customWidth="1"/>
    <col min="2" max="2" width="13" customWidth="1"/>
    <col min="3" max="3" width="15.77734375" customWidth="1"/>
    <col min="4" max="4" width="18.109375" customWidth="1"/>
    <col min="5" max="5" width="14.77734375" customWidth="1"/>
    <col min="6" max="6" width="10.21875" customWidth="1"/>
    <col min="7" max="7" width="15.77734375" bestFit="1" customWidth="1"/>
    <col min="8" max="8" width="16.6640625" customWidth="1"/>
    <col min="9" max="9" width="13.88671875" bestFit="1" customWidth="1"/>
    <col min="10" max="10" width="20.33203125" customWidth="1"/>
    <col min="11" max="11" width="64.77734375" style="86" customWidth="1"/>
  </cols>
  <sheetData>
    <row r="1" spans="1:11" x14ac:dyDescent="0.3">
      <c r="A1" s="83" t="s">
        <v>29</v>
      </c>
    </row>
    <row r="3" spans="1:11" x14ac:dyDescent="0.3">
      <c r="A3" s="64" t="s">
        <v>30</v>
      </c>
      <c r="B3" s="65">
        <f ca="1">TODAY()</f>
        <v>46142</v>
      </c>
      <c r="D3" s="63" t="s">
        <v>116</v>
      </c>
      <c r="E3" s="76" t="s">
        <v>117</v>
      </c>
      <c r="F3" s="77">
        <f ca="1">COUNTIFS(I6:I27,"&gt;=0",I6:I27,"&lt;=7")</f>
        <v>0</v>
      </c>
      <c r="G3" s="78" t="s">
        <v>118</v>
      </c>
      <c r="H3" s="79">
        <f ca="1">COUNTIFS(I6:I27,"&gt;=8",I6:I27,"&lt;=15")</f>
        <v>2</v>
      </c>
      <c r="I3" s="80" t="s">
        <v>119</v>
      </c>
      <c r="J3" s="81">
        <f ca="1">COUNTIFS(I6:I27,"&gt;=0",I6:I27,"&lt;=30")</f>
        <v>3</v>
      </c>
    </row>
    <row r="5" spans="1:11" x14ac:dyDescent="0.3">
      <c r="A5" s="66" t="s">
        <v>31</v>
      </c>
      <c r="B5" s="66" t="s">
        <v>32</v>
      </c>
      <c r="C5" s="66" t="s">
        <v>33</v>
      </c>
      <c r="D5" s="66" t="s">
        <v>34</v>
      </c>
      <c r="E5" s="66" t="s">
        <v>35</v>
      </c>
      <c r="F5" s="66" t="s">
        <v>5</v>
      </c>
      <c r="G5" s="66" t="s">
        <v>21</v>
      </c>
      <c r="H5" s="66" t="s">
        <v>36</v>
      </c>
      <c r="I5" s="66" t="s">
        <v>37</v>
      </c>
      <c r="J5" s="66" t="s">
        <v>38</v>
      </c>
      <c r="K5" s="87" t="s">
        <v>39</v>
      </c>
    </row>
    <row r="6" spans="1:11" x14ac:dyDescent="0.3">
      <c r="A6" t="s">
        <v>14</v>
      </c>
      <c r="B6" t="s">
        <v>40</v>
      </c>
      <c r="C6" s="68" t="s">
        <v>41</v>
      </c>
      <c r="D6" s="68" t="s">
        <v>42</v>
      </c>
      <c r="E6" s="69">
        <v>0.31311454</v>
      </c>
      <c r="F6" s="67" t="s">
        <v>43</v>
      </c>
      <c r="G6" s="67">
        <v>10</v>
      </c>
      <c r="H6" s="70">
        <f>E6*G6</f>
        <v>3.1311453999999999</v>
      </c>
      <c r="I6" s="67">
        <f ca="1">D6-$B$3</f>
        <v>20</v>
      </c>
      <c r="J6" s="67" t="str">
        <f ca="1">IF(I6&lt;0,"Pago",IF(I6&lt;=7,"🔴 Iminente",IF(I6&lt;=15,"🟡 Em breve",IF(I6&lt;=30,"🟢 Próximo","Aguardando"))))</f>
        <v>🟢 Próximo</v>
      </c>
      <c r="K6" s="86" t="s">
        <v>44</v>
      </c>
    </row>
    <row r="7" spans="1:11" x14ac:dyDescent="0.3">
      <c r="A7" t="s">
        <v>14</v>
      </c>
      <c r="B7" t="s">
        <v>40</v>
      </c>
      <c r="C7" s="68" t="s">
        <v>41</v>
      </c>
      <c r="D7" s="68" t="s">
        <v>45</v>
      </c>
      <c r="E7" s="69">
        <v>0.31311454</v>
      </c>
      <c r="F7" s="67" t="s">
        <v>43</v>
      </c>
      <c r="G7" s="67">
        <v>10</v>
      </c>
      <c r="H7" s="70">
        <f>E7*G7</f>
        <v>3.1311453999999999</v>
      </c>
      <c r="I7" s="67">
        <f ca="1">D7-$B$3</f>
        <v>53</v>
      </c>
      <c r="J7" s="67" t="str">
        <f ca="1">IF(I7&lt;0,"Pago",IF(I7&lt;=7,"🔴 Iminente",IF(I7&lt;=15,"🟡 Em breve",IF(I7&lt;=30,"🟢 Próximo","Aguardando"))))</f>
        <v>Aguardando</v>
      </c>
      <c r="K7" s="86" t="s">
        <v>46</v>
      </c>
    </row>
    <row r="8" spans="1:11" x14ac:dyDescent="0.3">
      <c r="A8" t="s">
        <v>13</v>
      </c>
      <c r="B8" t="s">
        <v>47</v>
      </c>
      <c r="C8" s="67"/>
      <c r="D8" s="67" t="s">
        <v>48</v>
      </c>
      <c r="E8" s="69"/>
      <c r="F8" s="67" t="s">
        <v>43</v>
      </c>
      <c r="G8" s="67">
        <v>10</v>
      </c>
      <c r="J8" s="67" t="s">
        <v>49</v>
      </c>
      <c r="K8" s="86" t="s">
        <v>50</v>
      </c>
    </row>
    <row r="9" spans="1:11" x14ac:dyDescent="0.3">
      <c r="A9" t="s">
        <v>51</v>
      </c>
      <c r="B9" t="s">
        <v>40</v>
      </c>
      <c r="C9" s="67" t="s">
        <v>52</v>
      </c>
      <c r="D9" s="68">
        <v>46332</v>
      </c>
      <c r="E9" s="69">
        <v>7.0000000000000007E-2</v>
      </c>
      <c r="F9" s="67" t="s">
        <v>43</v>
      </c>
      <c r="G9" s="67">
        <v>26</v>
      </c>
      <c r="H9" s="70">
        <f t="shared" ref="H9:H25" si="0">E9*G9</f>
        <v>1.8200000000000003</v>
      </c>
      <c r="I9" s="67">
        <f t="shared" ref="I9:I16" ca="1" si="1">D9-$B$3</f>
        <v>190</v>
      </c>
      <c r="J9" s="67" t="str">
        <f t="shared" ref="J9:J16" ca="1" si="2">IF(I9&lt;0,"Pago",IF(I9&lt;=7,"🔴 Iminente",IF(I9&lt;=15,"🟡 Em breve",IF(I9&lt;=30,"🟢 Próximo","Aguardando"))))</f>
        <v>Aguardando</v>
      </c>
      <c r="K9" s="86" t="s">
        <v>53</v>
      </c>
    </row>
    <row r="10" spans="1:11" x14ac:dyDescent="0.3">
      <c r="A10" t="s">
        <v>51</v>
      </c>
      <c r="B10" t="s">
        <v>40</v>
      </c>
      <c r="C10" s="67" t="s">
        <v>54</v>
      </c>
      <c r="D10" s="68">
        <v>46335</v>
      </c>
      <c r="E10" s="69">
        <v>7.0000000000000007E-2</v>
      </c>
      <c r="F10" s="67" t="s">
        <v>43</v>
      </c>
      <c r="G10" s="67">
        <v>26</v>
      </c>
      <c r="H10" s="70">
        <f t="shared" si="0"/>
        <v>1.8200000000000003</v>
      </c>
      <c r="I10" s="67">
        <f t="shared" ca="1" si="1"/>
        <v>193</v>
      </c>
      <c r="J10" s="67" t="str">
        <f t="shared" ca="1" si="2"/>
        <v>Aguardando</v>
      </c>
      <c r="K10" s="86" t="s">
        <v>55</v>
      </c>
    </row>
    <row r="11" spans="1:11" x14ac:dyDescent="0.3">
      <c r="A11" t="s">
        <v>51</v>
      </c>
      <c r="B11" t="s">
        <v>40</v>
      </c>
      <c r="C11" s="72">
        <v>46327</v>
      </c>
      <c r="D11" s="68">
        <v>46124</v>
      </c>
      <c r="E11" s="69">
        <v>7.0000000000000007E-2</v>
      </c>
      <c r="F11" s="67" t="s">
        <v>43</v>
      </c>
      <c r="G11" s="67">
        <v>26</v>
      </c>
      <c r="H11" s="70">
        <f t="shared" si="0"/>
        <v>1.8200000000000003</v>
      </c>
      <c r="I11" s="67">
        <f t="shared" ca="1" si="1"/>
        <v>-18</v>
      </c>
      <c r="J11" s="67" t="str">
        <f t="shared" ca="1" si="2"/>
        <v>Pago</v>
      </c>
      <c r="K11" s="86" t="s">
        <v>56</v>
      </c>
    </row>
    <row r="12" spans="1:11" x14ac:dyDescent="0.3">
      <c r="A12" t="s">
        <v>51</v>
      </c>
      <c r="B12" t="s">
        <v>40</v>
      </c>
      <c r="C12" s="72">
        <v>46327</v>
      </c>
      <c r="D12" s="68">
        <v>46307</v>
      </c>
      <c r="E12" s="69">
        <v>7.0000000000000007E-2</v>
      </c>
      <c r="F12" s="67" t="s">
        <v>43</v>
      </c>
      <c r="G12" s="67">
        <v>26</v>
      </c>
      <c r="H12" s="70">
        <f t="shared" si="0"/>
        <v>1.8200000000000003</v>
      </c>
      <c r="I12" s="67">
        <f t="shared" ca="1" si="1"/>
        <v>165</v>
      </c>
      <c r="J12" s="67" t="str">
        <f t="shared" ca="1" si="2"/>
        <v>Aguardando</v>
      </c>
      <c r="K12" s="86" t="s">
        <v>57</v>
      </c>
    </row>
    <row r="13" spans="1:11" x14ac:dyDescent="0.3">
      <c r="A13" t="s">
        <v>15</v>
      </c>
      <c r="B13" t="s">
        <v>40</v>
      </c>
      <c r="C13" s="68" t="s">
        <v>58</v>
      </c>
      <c r="D13" s="68" t="s">
        <v>59</v>
      </c>
      <c r="E13" s="69">
        <v>0.26900000000000002</v>
      </c>
      <c r="F13" s="67" t="s">
        <v>43</v>
      </c>
      <c r="G13" s="67">
        <v>19</v>
      </c>
      <c r="H13" s="70">
        <f t="shared" si="0"/>
        <v>5.1110000000000007</v>
      </c>
      <c r="I13" s="67">
        <f t="shared" ca="1" si="1"/>
        <v>245</v>
      </c>
      <c r="J13" s="67" t="str">
        <f t="shared" ca="1" si="2"/>
        <v>Aguardando</v>
      </c>
      <c r="K13" s="86" t="s">
        <v>60</v>
      </c>
    </row>
    <row r="14" spans="1:11" x14ac:dyDescent="0.3">
      <c r="A14" t="s">
        <v>61</v>
      </c>
      <c r="B14" t="s">
        <v>62</v>
      </c>
      <c r="C14" s="67" t="s">
        <v>63</v>
      </c>
      <c r="D14" s="68" t="s">
        <v>64</v>
      </c>
      <c r="E14" s="69">
        <v>0.09</v>
      </c>
      <c r="F14" s="67" t="s">
        <v>43</v>
      </c>
      <c r="G14" s="67">
        <v>44</v>
      </c>
      <c r="H14" s="70">
        <f t="shared" si="0"/>
        <v>3.96</v>
      </c>
      <c r="I14" s="67">
        <f t="shared" ca="1" si="1"/>
        <v>15</v>
      </c>
      <c r="J14" s="67" t="str">
        <f t="shared" ca="1" si="2"/>
        <v>🟡 Em breve</v>
      </c>
      <c r="K14" s="86" t="s">
        <v>65</v>
      </c>
    </row>
    <row r="15" spans="1:11" x14ac:dyDescent="0.3">
      <c r="A15" t="s">
        <v>61</v>
      </c>
      <c r="B15" t="s">
        <v>62</v>
      </c>
      <c r="C15" s="67" t="s">
        <v>66</v>
      </c>
      <c r="D15" s="68" t="s">
        <v>67</v>
      </c>
      <c r="E15" s="69">
        <v>0.09</v>
      </c>
      <c r="F15" s="67" t="s">
        <v>43</v>
      </c>
      <c r="G15" s="67">
        <v>44</v>
      </c>
      <c r="H15" s="70">
        <f t="shared" si="0"/>
        <v>3.96</v>
      </c>
      <c r="I15" s="67">
        <f t="shared" ca="1" si="1"/>
        <v>46</v>
      </c>
      <c r="J15" s="67" t="str">
        <f t="shared" ca="1" si="2"/>
        <v>Aguardando</v>
      </c>
      <c r="K15" s="86" t="s">
        <v>68</v>
      </c>
    </row>
    <row r="16" spans="1:11" x14ac:dyDescent="0.3">
      <c r="A16" t="s">
        <v>69</v>
      </c>
      <c r="B16" t="s">
        <v>70</v>
      </c>
      <c r="C16" s="68">
        <v>46114</v>
      </c>
      <c r="D16" s="68" t="s">
        <v>59</v>
      </c>
      <c r="E16" s="69">
        <v>0.45447520000000002</v>
      </c>
      <c r="F16" s="67" t="s">
        <v>43</v>
      </c>
      <c r="G16" s="67">
        <v>5</v>
      </c>
      <c r="H16" s="70">
        <f t="shared" si="0"/>
        <v>2.272376</v>
      </c>
      <c r="I16" s="67">
        <f t="shared" ca="1" si="1"/>
        <v>245</v>
      </c>
      <c r="J16" s="67" t="str">
        <f t="shared" ca="1" si="2"/>
        <v>Aguardando</v>
      </c>
      <c r="K16" s="86" t="s">
        <v>71</v>
      </c>
    </row>
    <row r="17" spans="1:11" x14ac:dyDescent="0.3">
      <c r="A17" t="s">
        <v>72</v>
      </c>
      <c r="B17" t="s">
        <v>70</v>
      </c>
      <c r="C17" s="67" t="s">
        <v>73</v>
      </c>
      <c r="D17" s="68" t="s">
        <v>74</v>
      </c>
      <c r="E17" s="69">
        <v>1.78</v>
      </c>
      <c r="F17" s="67" t="s">
        <v>43</v>
      </c>
      <c r="G17" s="67">
        <v>10</v>
      </c>
      <c r="H17" s="70">
        <f t="shared" si="0"/>
        <v>17.8</v>
      </c>
      <c r="I17" s="67" t="s">
        <v>75</v>
      </c>
      <c r="J17" s="67" t="s">
        <v>49</v>
      </c>
      <c r="K17" s="86" t="s">
        <v>76</v>
      </c>
    </row>
    <row r="18" spans="1:11" x14ac:dyDescent="0.3">
      <c r="A18" t="s">
        <v>77</v>
      </c>
      <c r="B18" t="s">
        <v>70</v>
      </c>
      <c r="C18" s="67" t="s">
        <v>78</v>
      </c>
      <c r="D18" s="68" t="s">
        <v>78</v>
      </c>
      <c r="E18" s="69">
        <v>1.58</v>
      </c>
      <c r="F18" s="67" t="s">
        <v>43</v>
      </c>
      <c r="G18" s="67">
        <v>20</v>
      </c>
      <c r="H18" s="70">
        <f t="shared" si="0"/>
        <v>31.6</v>
      </c>
      <c r="I18" s="67" t="s">
        <v>79</v>
      </c>
      <c r="J18" s="67" t="s">
        <v>49</v>
      </c>
      <c r="K18" s="86" t="s">
        <v>80</v>
      </c>
    </row>
    <row r="19" spans="1:11" x14ac:dyDescent="0.3">
      <c r="A19" t="s">
        <v>81</v>
      </c>
      <c r="B19" t="s">
        <v>70</v>
      </c>
      <c r="C19" s="67" t="s">
        <v>78</v>
      </c>
      <c r="D19" s="68" t="s">
        <v>78</v>
      </c>
      <c r="E19" s="69">
        <v>0.7</v>
      </c>
      <c r="F19" s="67" t="s">
        <v>43</v>
      </c>
      <c r="G19" s="67">
        <v>10</v>
      </c>
      <c r="H19" s="70">
        <f t="shared" si="0"/>
        <v>7</v>
      </c>
      <c r="I19" s="67" t="s">
        <v>79</v>
      </c>
      <c r="J19" s="67" t="s">
        <v>49</v>
      </c>
      <c r="K19" s="86" t="s">
        <v>82</v>
      </c>
    </row>
    <row r="20" spans="1:11" x14ac:dyDescent="0.3">
      <c r="A20" t="s">
        <v>83</v>
      </c>
      <c r="B20" t="s">
        <v>40</v>
      </c>
      <c r="C20" s="67" t="s">
        <v>84</v>
      </c>
      <c r="D20" s="68" t="s">
        <v>84</v>
      </c>
      <c r="E20" s="69">
        <v>0.14000000000000001</v>
      </c>
      <c r="F20" s="67" t="s">
        <v>43</v>
      </c>
      <c r="G20" s="67">
        <v>1</v>
      </c>
      <c r="H20" s="70">
        <f t="shared" si="0"/>
        <v>0.14000000000000001</v>
      </c>
      <c r="I20" s="67" t="s">
        <v>85</v>
      </c>
      <c r="J20" s="67" t="s">
        <v>86</v>
      </c>
      <c r="K20" s="86" t="s">
        <v>87</v>
      </c>
    </row>
    <row r="21" spans="1:11" x14ac:dyDescent="0.3">
      <c r="A21" t="s">
        <v>88</v>
      </c>
      <c r="B21" t="s">
        <v>47</v>
      </c>
      <c r="C21" s="67" t="s">
        <v>78</v>
      </c>
      <c r="D21" s="68" t="s">
        <v>78</v>
      </c>
      <c r="E21" s="69">
        <v>1.59</v>
      </c>
      <c r="F21" s="67" t="s">
        <v>43</v>
      </c>
      <c r="G21" s="67">
        <v>5</v>
      </c>
      <c r="H21" s="70">
        <f t="shared" si="0"/>
        <v>7.95</v>
      </c>
      <c r="I21" s="67" t="s">
        <v>79</v>
      </c>
      <c r="J21" s="67" t="s">
        <v>49</v>
      </c>
      <c r="K21" s="86" t="s">
        <v>89</v>
      </c>
    </row>
    <row r="22" spans="1:11" x14ac:dyDescent="0.3">
      <c r="A22" t="s">
        <v>90</v>
      </c>
      <c r="B22" t="s">
        <v>91</v>
      </c>
      <c r="C22" s="67" t="s">
        <v>92</v>
      </c>
      <c r="D22" s="68" t="s">
        <v>64</v>
      </c>
      <c r="E22" s="69">
        <v>0.27050000000000002</v>
      </c>
      <c r="F22" s="67" t="s">
        <v>93</v>
      </c>
      <c r="G22">
        <f>'CARTEIRA RENATO'!H14</f>
        <v>20.228169999999999</v>
      </c>
      <c r="H22" s="70">
        <f t="shared" si="0"/>
        <v>5.471719985</v>
      </c>
      <c r="I22">
        <f ca="1">DATEVALUE(D22)-$B$3</f>
        <v>15</v>
      </c>
      <c r="J22" t="str">
        <f ca="1">IF(I22&lt;0,"Pago",IF(I22&lt;=7,"🔴 Iminente",IF(I22&lt;=15,"🟡 Em breve",IF(I22&lt;=30,"🟢 Próximo","Aguardando"))))</f>
        <v>🟡 Em breve</v>
      </c>
      <c r="K22" s="86" t="s">
        <v>94</v>
      </c>
    </row>
    <row r="23" spans="1:11" x14ac:dyDescent="0.3">
      <c r="A23" t="s">
        <v>95</v>
      </c>
      <c r="B23" t="s">
        <v>91</v>
      </c>
      <c r="C23" s="71">
        <f>DATE(2026,6,11)</f>
        <v>46184</v>
      </c>
      <c r="D23" s="71">
        <f>DATE(2026,7,9)</f>
        <v>46212</v>
      </c>
      <c r="E23" s="69">
        <v>0.95</v>
      </c>
      <c r="F23" s="67" t="s">
        <v>93</v>
      </c>
      <c r="G23">
        <f>'CARTEIRA RENATO'!H20</f>
        <v>1</v>
      </c>
      <c r="H23" s="70">
        <f t="shared" si="0"/>
        <v>0.95</v>
      </c>
      <c r="I23">
        <f ca="1">D23-$B$3</f>
        <v>70</v>
      </c>
      <c r="J23" t="str">
        <f ca="1">IF(I23&lt;0,"Pago",IF(I23&lt;=7,"🔴 Iminente",IF(I23&lt;=15,"🟡 Em breve",IF(I23&lt;=30,"🟢 Próximo","Aguardando"))))</f>
        <v>Aguardando</v>
      </c>
      <c r="K23" s="86" t="s">
        <v>96</v>
      </c>
    </row>
    <row r="24" spans="1:11" x14ac:dyDescent="0.3">
      <c r="A24" t="s">
        <v>97</v>
      </c>
      <c r="B24" t="s">
        <v>91</v>
      </c>
      <c r="C24" s="71">
        <f>DATE(2026,6,12)</f>
        <v>46185</v>
      </c>
      <c r="D24" s="71">
        <f>DATE(2026,7,10)</f>
        <v>46213</v>
      </c>
      <c r="E24" s="69">
        <v>1.05</v>
      </c>
      <c r="F24" s="67" t="s">
        <v>93</v>
      </c>
      <c r="G24">
        <f>'CARTEIRA RENATO'!H21</f>
        <v>1</v>
      </c>
      <c r="H24" s="70">
        <f t="shared" si="0"/>
        <v>1.05</v>
      </c>
      <c r="I24">
        <f ca="1">D24-$B$3</f>
        <v>71</v>
      </c>
      <c r="J24" t="str">
        <f ca="1">IF(I24&lt;0,"Pago",IF(I24&lt;=7,"🔴 Iminente",IF(I24&lt;=15,"🟡 Em breve",IF(I24&lt;=30,"🟢 Próximo","Aguardando"))))</f>
        <v>Aguardando</v>
      </c>
      <c r="K24" s="86" t="s">
        <v>98</v>
      </c>
    </row>
    <row r="25" spans="1:11" x14ac:dyDescent="0.3">
      <c r="A25" t="s">
        <v>99</v>
      </c>
      <c r="B25" t="s">
        <v>91</v>
      </c>
      <c r="C25" s="67" t="s">
        <v>100</v>
      </c>
      <c r="D25" s="68" t="s">
        <v>101</v>
      </c>
      <c r="E25" s="69">
        <v>0.56999999999999995</v>
      </c>
      <c r="F25" s="67" t="s">
        <v>93</v>
      </c>
      <c r="G25">
        <f>'CARTEIRA RENATO'!H22</f>
        <v>1</v>
      </c>
      <c r="H25" s="70">
        <f t="shared" si="0"/>
        <v>0.56999999999999995</v>
      </c>
      <c r="I25">
        <f ca="1">DATEVALUE(D25)-$B$3</f>
        <v>47</v>
      </c>
      <c r="J25" t="str">
        <f ca="1">IF(I25&lt;0,"Pago",IF(I25&lt;=7,"🔴 Iminente",IF(I25&lt;=15,"🟡 Em breve",IF(I25&lt;=30,"🟢 Próximo","Aguardando"))))</f>
        <v>Aguardando</v>
      </c>
      <c r="K25" s="86" t="s">
        <v>102</v>
      </c>
    </row>
    <row r="26" spans="1:11" x14ac:dyDescent="0.3">
      <c r="A26" t="s">
        <v>103</v>
      </c>
      <c r="B26" t="s">
        <v>104</v>
      </c>
      <c r="C26" s="67" t="s">
        <v>105</v>
      </c>
      <c r="D26" s="68" t="s">
        <v>106</v>
      </c>
      <c r="E26" s="69">
        <v>0</v>
      </c>
      <c r="F26" s="67" t="s">
        <v>93</v>
      </c>
      <c r="G26">
        <f>'CARTEIRA RENATO'!H23</f>
        <v>1</v>
      </c>
      <c r="H26">
        <v>0</v>
      </c>
      <c r="I26" t="s">
        <v>104</v>
      </c>
      <c r="J26" t="s">
        <v>107</v>
      </c>
      <c r="K26" s="86" t="s">
        <v>108</v>
      </c>
    </row>
    <row r="27" spans="1:11" x14ac:dyDescent="0.3">
      <c r="A27" t="s">
        <v>109</v>
      </c>
      <c r="B27" t="s">
        <v>91</v>
      </c>
      <c r="C27" s="67">
        <f>DATE(2026,3,31)</f>
        <v>46112</v>
      </c>
      <c r="D27" s="71">
        <f>DATE(2026,6,9)</f>
        <v>46182</v>
      </c>
      <c r="E27" s="69">
        <v>7.0000000000000007E-2</v>
      </c>
      <c r="F27" s="67" t="s">
        <v>93</v>
      </c>
      <c r="G27">
        <f>'CARTEIRA RENATO'!H24</f>
        <v>1</v>
      </c>
      <c r="H27" s="70">
        <f>E27*G27</f>
        <v>7.0000000000000007E-2</v>
      </c>
      <c r="I27">
        <f ca="1">D27-$B$3</f>
        <v>40</v>
      </c>
      <c r="J27" t="str">
        <f ca="1">IF(I27&lt;0,"Pago",IF(I27&lt;=7,"🔴 Iminente",IF(I27&lt;=15,"🟡 Em breve",IF(I27&lt;=30,"🟢 Próximo","Aguardando"))))</f>
        <v>Aguardando</v>
      </c>
      <c r="K27" s="86" t="s">
        <v>110</v>
      </c>
    </row>
    <row r="29" spans="1:11" x14ac:dyDescent="0.3">
      <c r="A29" s="73" t="s">
        <v>111</v>
      </c>
      <c r="B29" s="74"/>
      <c r="C29" s="74"/>
      <c r="D29" s="74"/>
      <c r="E29" s="74"/>
      <c r="F29" s="74"/>
      <c r="G29" s="74"/>
      <c r="H29" s="74"/>
    </row>
    <row r="30" spans="1:11" x14ac:dyDescent="0.3">
      <c r="A30" t="s">
        <v>112</v>
      </c>
      <c r="B30" s="84">
        <f ca="1">SUMIFS(H6:H21,F6:F21,"BRL",I6:I21,"&gt;=0")</f>
        <v>27.025666800000003</v>
      </c>
    </row>
    <row r="31" spans="1:11" x14ac:dyDescent="0.3">
      <c r="A31" t="s">
        <v>113</v>
      </c>
      <c r="B31" s="84">
        <f ca="1">SUMIFS(H22:H27,F22:F27,"USD",I22:I27,"&gt;=0")</f>
        <v>8.1117199850000006</v>
      </c>
    </row>
    <row r="32" spans="1:11" x14ac:dyDescent="0.3">
      <c r="A32" t="s">
        <v>114</v>
      </c>
      <c r="B32" s="84">
        <f ca="1">B31*CAMBIO!$C$2</f>
        <v>40.185460805689999</v>
      </c>
    </row>
    <row r="33" spans="1:5" ht="15.6" x14ac:dyDescent="0.3">
      <c r="A33" t="s">
        <v>115</v>
      </c>
      <c r="B33" s="85">
        <f ca="1">B30+B32</f>
        <v>67.211127605689995</v>
      </c>
    </row>
    <row r="35" spans="1:5" x14ac:dyDescent="0.3">
      <c r="A35" s="73" t="s">
        <v>120</v>
      </c>
    </row>
    <row r="36" spans="1:5" x14ac:dyDescent="0.3">
      <c r="A36" s="82" t="s">
        <v>121</v>
      </c>
      <c r="B36" s="82" t="s">
        <v>126</v>
      </c>
      <c r="C36" s="82" t="s">
        <v>127</v>
      </c>
      <c r="D36" s="82" t="s">
        <v>122</v>
      </c>
      <c r="E36" s="82" t="s">
        <v>128</v>
      </c>
    </row>
    <row r="37" spans="1:5" x14ac:dyDescent="0.3">
      <c r="A37" t="str" cm="1">
        <f t="array" aca="1" ref="A37:E40" ca="1">IFERROR(_xlfn._xlws.SORT(_xlfn._xlws.FILTER(A6:E27,(I6:I27&gt;=0)*(I6:I27&lt;=30)),3,1),"Nenhum nos próximos 30 dias")</f>
        <v>PETR4</v>
      </c>
      <c r="B37" t="str">
        <f ca="1"/>
        <v>JCP</v>
      </c>
      <c r="C37" t="str">
        <f ca="1"/>
        <v>22/04/2026</v>
      </c>
      <c r="D37" t="str">
        <f ca="1"/>
        <v>20/05/2026</v>
      </c>
      <c r="E37">
        <f ca="1"/>
        <v>0.31311454</v>
      </c>
    </row>
    <row r="38" spans="1:5" x14ac:dyDescent="0.3">
      <c r="A38" t="str">
        <f ca="1"/>
        <v>O</v>
      </c>
      <c r="B38" t="str">
        <f ca="1"/>
        <v>Dividend</v>
      </c>
      <c r="C38" t="str">
        <f ca="1"/>
        <v>30/04/2026</v>
      </c>
      <c r="D38" t="str">
        <f ca="1"/>
        <v>15/05/2026</v>
      </c>
      <c r="E38">
        <f ca="1"/>
        <v>0.27050000000000002</v>
      </c>
    </row>
    <row r="39" spans="1:5" x14ac:dyDescent="0.3">
      <c r="A39" t="str">
        <f ca="1"/>
        <v>CPTS11</v>
      </c>
      <c r="B39" t="str">
        <f ca="1"/>
        <v>Rend. FII</v>
      </c>
      <c r="C39" t="str">
        <f ca="1"/>
        <v>30/04/2026 (est)</v>
      </c>
      <c r="D39" t="str">
        <f ca="1"/>
        <v>15/05/2026</v>
      </c>
      <c r="E39">
        <f ca="1"/>
        <v>0.09</v>
      </c>
    </row>
    <row r="40" spans="1:5" x14ac:dyDescent="0.3">
      <c r="A40" t="str">
        <f ca="1"/>
        <v>VALE3</v>
      </c>
      <c r="B40" t="str">
        <f ca="1"/>
        <v>Div+JCP</v>
      </c>
      <c r="C40">
        <f ca="1"/>
        <v>0</v>
      </c>
      <c r="D40" t="str">
        <f ca="1"/>
        <v>Ago/2026 (esperado)</v>
      </c>
      <c r="E40">
        <f ca="1"/>
        <v>0</v>
      </c>
    </row>
    <row r="51" spans="1:10" x14ac:dyDescent="0.3">
      <c r="A51" t="s">
        <v>72</v>
      </c>
      <c r="B51" t="s">
        <v>70</v>
      </c>
      <c r="C51" s="67" t="s">
        <v>73</v>
      </c>
      <c r="D51" s="68" t="s">
        <v>74</v>
      </c>
      <c r="E51" s="69">
        <v>1.78</v>
      </c>
      <c r="F51" s="67" t="s">
        <v>43</v>
      </c>
      <c r="G51" s="67">
        <v>10</v>
      </c>
      <c r="H51" s="70">
        <f t="shared" ref="H51:H59" si="3">E51*G51</f>
        <v>17.8</v>
      </c>
      <c r="I51" s="67" t="s">
        <v>75</v>
      </c>
      <c r="J51" s="67" t="s">
        <v>49</v>
      </c>
    </row>
    <row r="52" spans="1:10" x14ac:dyDescent="0.3">
      <c r="A52" t="s">
        <v>77</v>
      </c>
      <c r="B52" t="s">
        <v>70</v>
      </c>
      <c r="C52" s="67" t="s">
        <v>78</v>
      </c>
      <c r="D52" s="68" t="s">
        <v>78</v>
      </c>
      <c r="E52" s="69">
        <v>1.58</v>
      </c>
      <c r="F52" s="67" t="s">
        <v>43</v>
      </c>
      <c r="G52" s="67">
        <v>20</v>
      </c>
      <c r="H52" s="70">
        <f t="shared" si="3"/>
        <v>31.6</v>
      </c>
      <c r="I52" s="67" t="s">
        <v>79</v>
      </c>
      <c r="J52" s="67" t="s">
        <v>49</v>
      </c>
    </row>
    <row r="53" spans="1:10" x14ac:dyDescent="0.3">
      <c r="A53" t="s">
        <v>81</v>
      </c>
      <c r="B53" t="s">
        <v>70</v>
      </c>
      <c r="C53" s="67" t="s">
        <v>78</v>
      </c>
      <c r="D53" s="68" t="s">
        <v>78</v>
      </c>
      <c r="E53" s="69">
        <v>0.7</v>
      </c>
      <c r="F53" s="67" t="s">
        <v>43</v>
      </c>
      <c r="G53" s="67">
        <v>10</v>
      </c>
      <c r="H53" s="70">
        <f t="shared" si="3"/>
        <v>7</v>
      </c>
      <c r="I53" s="67" t="s">
        <v>79</v>
      </c>
      <c r="J53" s="67" t="s">
        <v>49</v>
      </c>
    </row>
    <row r="54" spans="1:10" x14ac:dyDescent="0.3">
      <c r="A54" t="s">
        <v>83</v>
      </c>
      <c r="B54" t="s">
        <v>40</v>
      </c>
      <c r="C54" s="67" t="s">
        <v>84</v>
      </c>
      <c r="D54" s="68" t="s">
        <v>84</v>
      </c>
      <c r="E54" s="69">
        <v>0.14000000000000001</v>
      </c>
      <c r="F54" s="67" t="s">
        <v>43</v>
      </c>
      <c r="G54" s="67">
        <v>1</v>
      </c>
      <c r="H54" s="70">
        <f t="shared" si="3"/>
        <v>0.14000000000000001</v>
      </c>
      <c r="I54" s="67" t="s">
        <v>85</v>
      </c>
      <c r="J54" s="67" t="s">
        <v>86</v>
      </c>
    </row>
    <row r="55" spans="1:10" x14ac:dyDescent="0.3">
      <c r="A55" t="s">
        <v>88</v>
      </c>
      <c r="B55" t="s">
        <v>47</v>
      </c>
      <c r="C55" s="67" t="s">
        <v>78</v>
      </c>
      <c r="D55" s="68" t="s">
        <v>78</v>
      </c>
      <c r="E55" s="69">
        <v>1.59</v>
      </c>
      <c r="F55" s="67" t="s">
        <v>43</v>
      </c>
      <c r="G55" s="67">
        <v>5</v>
      </c>
      <c r="H55" s="70">
        <f t="shared" si="3"/>
        <v>7.95</v>
      </c>
      <c r="I55" s="67" t="s">
        <v>79</v>
      </c>
      <c r="J55" s="67" t="s">
        <v>49</v>
      </c>
    </row>
    <row r="56" spans="1:10" x14ac:dyDescent="0.3">
      <c r="A56" t="s">
        <v>90</v>
      </c>
      <c r="B56" t="s">
        <v>91</v>
      </c>
      <c r="C56" s="67" t="s">
        <v>92</v>
      </c>
      <c r="D56" s="68" t="s">
        <v>64</v>
      </c>
      <c r="E56" s="69">
        <v>0.27050000000000002</v>
      </c>
      <c r="F56" s="67" t="s">
        <v>93</v>
      </c>
      <c r="G56">
        <f>'CARTEIRA RENATO'!H48</f>
        <v>0</v>
      </c>
      <c r="H56" s="70">
        <f t="shared" si="3"/>
        <v>0</v>
      </c>
      <c r="I56">
        <f ca="1">DATEVALUE(D56)-$B$3</f>
        <v>15</v>
      </c>
      <c r="J56" t="str">
        <f ca="1">IF(I56&lt;0,"Pago",IF(I56&lt;=7,"🔴 Iminente",IF(I56&lt;=15,"🟡 Em breve",IF(I56&lt;=30,"🟢 Próximo","Aguardando"))))</f>
        <v>🟡 Em breve</v>
      </c>
    </row>
    <row r="57" spans="1:10" x14ac:dyDescent="0.3">
      <c r="A57" t="s">
        <v>95</v>
      </c>
      <c r="B57" t="s">
        <v>91</v>
      </c>
      <c r="C57" s="71">
        <f>DATE(2026,6,11)</f>
        <v>46184</v>
      </c>
      <c r="D57" s="71">
        <f>DATE(2026,7,9)</f>
        <v>46212</v>
      </c>
      <c r="E57" s="69">
        <v>0.95</v>
      </c>
      <c r="F57" s="67" t="s">
        <v>93</v>
      </c>
      <c r="G57">
        <f>'CARTEIRA RENATO'!H54</f>
        <v>0</v>
      </c>
      <c r="H57" s="70">
        <f t="shared" si="3"/>
        <v>0</v>
      </c>
      <c r="I57">
        <f ca="1">D57-$B$3</f>
        <v>70</v>
      </c>
      <c r="J57" t="str">
        <f ca="1">IF(I57&lt;0,"Pago",IF(I57&lt;=7,"🔴 Iminente",IF(I57&lt;=15,"🟡 Em breve",IF(I57&lt;=30,"🟢 Próximo","Aguardando"))))</f>
        <v>Aguardando</v>
      </c>
    </row>
    <row r="58" spans="1:10" x14ac:dyDescent="0.3">
      <c r="A58" t="s">
        <v>97</v>
      </c>
      <c r="B58" t="s">
        <v>91</v>
      </c>
      <c r="C58" s="71">
        <f>DATE(2026,6,12)</f>
        <v>46185</v>
      </c>
      <c r="D58" s="71">
        <f>DATE(2026,7,10)</f>
        <v>46213</v>
      </c>
      <c r="E58" s="69">
        <v>1.05</v>
      </c>
      <c r="F58" s="67" t="s">
        <v>93</v>
      </c>
      <c r="G58">
        <f>'CARTEIRA RENATO'!H55</f>
        <v>0</v>
      </c>
      <c r="H58" s="70">
        <f t="shared" si="3"/>
        <v>0</v>
      </c>
      <c r="I58">
        <f ca="1">D58-$B$3</f>
        <v>71</v>
      </c>
      <c r="J58" t="str">
        <f ca="1">IF(I58&lt;0,"Pago",IF(I58&lt;=7,"🔴 Iminente",IF(I58&lt;=15,"🟡 Em breve",IF(I58&lt;=30,"🟢 Próximo","Aguardando"))))</f>
        <v>Aguardando</v>
      </c>
    </row>
    <row r="59" spans="1:10" x14ac:dyDescent="0.3">
      <c r="A59" t="s">
        <v>99</v>
      </c>
      <c r="B59" t="s">
        <v>91</v>
      </c>
      <c r="C59" s="67" t="s">
        <v>100</v>
      </c>
      <c r="D59" s="68" t="s">
        <v>101</v>
      </c>
      <c r="E59" s="69">
        <v>0.56999999999999995</v>
      </c>
      <c r="F59" s="67" t="s">
        <v>93</v>
      </c>
      <c r="G59">
        <f>'CARTEIRA RENATO'!H56</f>
        <v>0</v>
      </c>
      <c r="H59" s="70">
        <f t="shared" si="3"/>
        <v>0</v>
      </c>
      <c r="I59">
        <f ca="1">DATEVALUE(D59)-$B$3</f>
        <v>47</v>
      </c>
      <c r="J59" t="str">
        <f ca="1">IF(I59&lt;0,"Pago",IF(I59&lt;=7,"🔴 Iminente",IF(I59&lt;=15,"🟡 Em breve",IF(I59&lt;=30,"🟢 Próximo","Aguardando"))))</f>
        <v>Aguardando</v>
      </c>
    </row>
    <row r="60" spans="1:10" x14ac:dyDescent="0.3">
      <c r="A60" t="s">
        <v>103</v>
      </c>
      <c r="B60" t="s">
        <v>104</v>
      </c>
      <c r="C60" s="67" t="s">
        <v>105</v>
      </c>
      <c r="D60" s="68" t="s">
        <v>106</v>
      </c>
      <c r="E60" s="69">
        <v>0</v>
      </c>
      <c r="F60" s="67" t="s">
        <v>93</v>
      </c>
      <c r="G60">
        <f>'CARTEIRA RENATO'!H57</f>
        <v>0</v>
      </c>
      <c r="H60">
        <v>0</v>
      </c>
      <c r="I60" t="s">
        <v>104</v>
      </c>
      <c r="J60" t="s">
        <v>107</v>
      </c>
    </row>
    <row r="61" spans="1:10" x14ac:dyDescent="0.3">
      <c r="A61" t="s">
        <v>109</v>
      </c>
      <c r="B61" t="s">
        <v>91</v>
      </c>
      <c r="C61" s="67">
        <f>DATE(2026,3,31)</f>
        <v>46112</v>
      </c>
      <c r="D61" s="71">
        <f>DATE(2026,6,9)</f>
        <v>46182</v>
      </c>
      <c r="E61" s="69">
        <v>7.0000000000000007E-2</v>
      </c>
      <c r="F61" s="67" t="s">
        <v>93</v>
      </c>
      <c r="G61">
        <f>'CARTEIRA RENATO'!H58</f>
        <v>0</v>
      </c>
      <c r="H61" s="70">
        <f>E61*G61</f>
        <v>0</v>
      </c>
      <c r="I61">
        <f ca="1">D61-$B$3</f>
        <v>40</v>
      </c>
      <c r="J61" t="str">
        <f ca="1">IF(I61&lt;0,"Pago",IF(I61&lt;=7,"🔴 Iminente",IF(I61&lt;=15,"🟡 Em breve",IF(I61&lt;=30,"🟢 Próximo","Aguardando"))))</f>
        <v>Aguardando</v>
      </c>
    </row>
    <row r="63" spans="1:10" x14ac:dyDescent="0.3">
      <c r="A63" s="73" t="s">
        <v>111</v>
      </c>
      <c r="B63" s="74"/>
      <c r="C63" s="74"/>
      <c r="D63" s="74"/>
      <c r="E63" s="74"/>
      <c r="F63" s="74"/>
      <c r="G63" s="74"/>
      <c r="H63" s="74"/>
    </row>
    <row r="64" spans="1:10" x14ac:dyDescent="0.3">
      <c r="A64" t="s">
        <v>112</v>
      </c>
      <c r="B64" s="63">
        <f>SUMIFS(H40:H55,F40:F55,"BRL",I40:I55,"&gt;=0")</f>
        <v>0</v>
      </c>
    </row>
    <row r="65" spans="1:5" x14ac:dyDescent="0.3">
      <c r="A65" t="s">
        <v>113</v>
      </c>
      <c r="B65" s="63">
        <f ca="1">SUMIFS(H56:H61,F56:F61,"USD",I56:I61,"&gt;=0")</f>
        <v>0</v>
      </c>
    </row>
    <row r="66" spans="1:5" x14ac:dyDescent="0.3">
      <c r="A66" t="s">
        <v>114</v>
      </c>
      <c r="B66" s="63">
        <f ca="1">B65*CAMBIO!$C$2</f>
        <v>0</v>
      </c>
    </row>
    <row r="67" spans="1:5" ht="15.6" x14ac:dyDescent="0.3">
      <c r="A67" t="s">
        <v>115</v>
      </c>
      <c r="B67" s="75">
        <f ca="1">B64+B66</f>
        <v>0</v>
      </c>
    </row>
    <row r="69" spans="1:5" x14ac:dyDescent="0.3">
      <c r="A69" s="73" t="s">
        <v>120</v>
      </c>
    </row>
    <row r="70" spans="1:5" x14ac:dyDescent="0.3">
      <c r="A70" s="82" t="s">
        <v>121</v>
      </c>
      <c r="B70" s="82" t="s">
        <v>122</v>
      </c>
      <c r="C70" s="82" t="s">
        <v>123</v>
      </c>
      <c r="D70" s="82" t="s">
        <v>124</v>
      </c>
      <c r="E70" s="82" t="s">
        <v>125</v>
      </c>
    </row>
    <row r="71" spans="1:5" x14ac:dyDescent="0.3">
      <c r="A71" t="str" cm="1">
        <f t="array" aca="1" ref="A71" ca="1">IFERROR(INDEX($A$6:$A$27,MATCH(SMALL(IF(($I$6:$I$27&gt;=0)*($I$6:$I$27&lt;=30),$I$6:$I$27),ROW()-36),$I$6:$I$27,0)),"")</f>
        <v/>
      </c>
      <c r="B71" t="str" cm="1">
        <f t="array" aca="1" ref="B71" ca="1">IFERROR(INDEX($D$6:$D$27,MATCH(SMALL(IF(($I$6:$I$27&gt;=0)*($I$6:$I$27&lt;=30),$I$6:$I$27),ROW()-36),$I$6:$I$27,0)),"")</f>
        <v/>
      </c>
      <c r="C71" s="67" t="str" cm="1">
        <f t="array" aca="1" ref="C71" ca="1">IFERROR(SMALL(IF(($I$6:$I$27&gt;=0)*($I$6:$I$27&lt;=30),$I$6:$I$27),ROW()-36),"")</f>
        <v/>
      </c>
      <c r="D71" t="str" cm="1">
        <f t="array" aca="1" ref="D71" ca="1">IFERROR(INDEX($H$6:$H$27,MATCH(SMALL(IF(($I$6:$I$27&gt;=0)*($I$6:$I$27&lt;=30),$I$6:$I$27),ROW()-36),$I$6:$I$27,0)),"")</f>
        <v/>
      </c>
      <c r="E71" t="str" cm="1">
        <f t="array" aca="1" ref="E71" ca="1">IFERROR(INDEX($F$6:$F$27,MATCH(SMALL(IF(($I$6:$I$27&gt;=0)*($I$6:$I$27&lt;=30),$I$6:$I$27),ROW()-36),$I$6:$I$27,0)),"")</f>
        <v/>
      </c>
    </row>
  </sheetData>
  <conditionalFormatting sqref="H6:H27">
    <cfRule type="dataBar" priority="5">
      <dataBar>
        <cfvo type="min"/>
        <cfvo type="max"/>
        <color rgb="FF63BE7B"/>
      </dataBar>
      <extLst>
        <ext xmlns:x14="http://schemas.microsoft.com/office/spreadsheetml/2009/9/main" uri="{B025F937-C7B1-47D3-B67F-A62EFF666E3E}">
          <x14:id>{995155E6-7D54-41A3-8F57-0F2A3AB749BD}</x14:id>
        </ext>
      </extLst>
    </cfRule>
  </conditionalFormatting>
  <conditionalFormatting sqref="J6:J27">
    <cfRule type="containsText" dxfId="17" priority="1" operator="containsText" text="Iminente">
      <formula>NOT(ISERROR(SEARCH("Iminente",J6)))</formula>
    </cfRule>
    <cfRule type="containsText" dxfId="16" priority="2" operator="containsText" text="Em breve">
      <formula>NOT(ISERROR(SEARCH("Em breve",J6)))</formula>
    </cfRule>
    <cfRule type="containsText" dxfId="15" priority="3" operator="containsText" text="Próximo">
      <formula>NOT(ISERROR(SEARCH("Próximo",J6)))</formula>
    </cfRule>
    <cfRule type="containsText" dxfId="14" priority="4" operator="containsText" text="Pago">
      <formula>NOT(ISERROR(SEARCH("Pago",J6)))</formula>
    </cfRule>
  </conditionalFormatting>
  <pageMargins left="0.511811024" right="0.511811024" top="0.78740157499999996" bottom="0.78740157499999996" header="0.31496062000000002" footer="0.31496062000000002"/>
  <pageSetup paperSize="9" orientation="portrait" horizontalDpi="360" verticalDpi="360" r:id="rId1"/>
  <legacyDrawing r:id="rId2"/>
  <extLst>
    <ext xmlns:x14="http://schemas.microsoft.com/office/spreadsheetml/2009/9/main" uri="{78C0D931-6437-407d-A8EE-F0AAD7539E65}">
      <x14:conditionalFormattings>
        <x14:conditionalFormatting xmlns:xm="http://schemas.microsoft.com/office/excel/2006/main">
          <x14:cfRule type="dataBar" id="{995155E6-7D54-41A3-8F57-0F2A3AB749BD}">
            <x14:dataBar minLength="0" maxLength="100" direction="leftToRight" negativeBarColorSameAsPositive="1" axisPosition="none">
              <x14:cfvo type="min"/>
              <x14:cfvo type="max"/>
            </x14:dataBar>
          </x14:cfRule>
          <xm:sqref>H6:H27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50F45-B6BA-4372-9635-9350B8426690}">
  <sheetPr codeName="Planilha3"/>
  <dimension ref="A1:I13"/>
  <sheetViews>
    <sheetView workbookViewId="0">
      <selection activeCell="A23" sqref="A23"/>
    </sheetView>
  </sheetViews>
  <sheetFormatPr defaultRowHeight="14.4" x14ac:dyDescent="0.3"/>
  <cols>
    <col min="1" max="1" width="77.88671875" bestFit="1" customWidth="1"/>
    <col min="2" max="2" width="7.44140625" bestFit="1" customWidth="1"/>
    <col min="3" max="3" width="10.5546875" bestFit="1" customWidth="1"/>
    <col min="4" max="4" width="12.109375" style="3" customWidth="1"/>
    <col min="5" max="5" width="9.109375" style="2" bestFit="1" customWidth="1"/>
    <col min="6" max="6" width="12.6640625" bestFit="1" customWidth="1"/>
    <col min="7" max="7" width="14.5546875" bestFit="1" customWidth="1"/>
    <col min="8" max="8" width="13.109375" bestFit="1" customWidth="1"/>
    <col min="9" max="9" width="16.6640625" bestFit="1" customWidth="1"/>
  </cols>
  <sheetData>
    <row r="1" spans="1:9" x14ac:dyDescent="0.3">
      <c r="A1" t="s">
        <v>0</v>
      </c>
      <c r="B1" t="s">
        <v>1</v>
      </c>
      <c r="C1" t="s">
        <v>2</v>
      </c>
      <c r="D1" s="3" t="s">
        <v>3</v>
      </c>
      <c r="E1" s="2" t="s">
        <v>4</v>
      </c>
      <c r="G1" s="2"/>
    </row>
    <row r="2" spans="1:9" x14ac:dyDescent="0.3">
      <c r="A2" t="e" vm="1">
        <v>#VALUE!</v>
      </c>
      <c r="B2" s="2" cm="1">
        <f t="array" aca="1" ref="B2" ca="1">_FV(A2,"Variação (%)",TRUE)</f>
        <v>8.0000000000000002E-3</v>
      </c>
      <c r="C2" s="1" cm="1">
        <f t="array" aca="1" ref="C2" ca="1">_FV(A2,"Preço")</f>
        <v>34.020000000000003</v>
      </c>
      <c r="D2" s="3">
        <v>36.380000000000003</v>
      </c>
      <c r="E2" s="2">
        <f t="shared" ref="E2:E12" ca="1" si="0">(C2-D2)/D2</f>
        <v>-6.4870808136338623E-2</v>
      </c>
      <c r="G2" s="3"/>
      <c r="H2" s="1"/>
      <c r="I2" s="1"/>
    </row>
    <row r="3" spans="1:9" x14ac:dyDescent="0.3">
      <c r="A3" t="e" vm="2">
        <v>#VALUE!</v>
      </c>
      <c r="B3" s="2" cm="1">
        <f t="array" aca="1" ref="B3" ca="1">_FV(A3,"Variação (%)",TRUE)</f>
        <v>2.5554E-2</v>
      </c>
      <c r="C3" s="1" cm="1">
        <f t="array" aca="1" ref="C3" ca="1">_FV(A3,"Preço")</f>
        <v>81.47</v>
      </c>
      <c r="D3" s="3">
        <v>79.53</v>
      </c>
      <c r="E3" s="2">
        <f t="shared" ca="1" si="0"/>
        <v>2.4393310700364615E-2</v>
      </c>
      <c r="G3" s="3"/>
      <c r="H3" s="1"/>
      <c r="I3" s="1"/>
    </row>
    <row r="4" spans="1:9" x14ac:dyDescent="0.3">
      <c r="A4" t="e" vm="3">
        <v>#VALUE!</v>
      </c>
      <c r="B4" s="2" cm="1">
        <f t="array" aca="1" ref="B4" ca="1">_FV(A4,"Variação (%)",TRUE)</f>
        <v>8.1699999999999991E-4</v>
      </c>
      <c r="C4" s="1" cm="1">
        <f t="array" aca="1" ref="C4" ca="1">_FV(A4,"Preço")</f>
        <v>49</v>
      </c>
      <c r="D4" s="3">
        <v>46.36</v>
      </c>
      <c r="E4" s="2">
        <f t="shared" ca="1" si="0"/>
        <v>5.6945642795513389E-2</v>
      </c>
      <c r="G4" s="3"/>
      <c r="H4" s="1"/>
      <c r="I4" s="1"/>
    </row>
    <row r="5" spans="1:9" x14ac:dyDescent="0.3">
      <c r="A5" t="e" vm="4">
        <v>#VALUE!</v>
      </c>
      <c r="B5" s="2" cm="1">
        <f t="array" aca="1" ref="B5" ca="1">_FV(A5,"Variação (%)",TRUE)</f>
        <v>1.8144E-2</v>
      </c>
      <c r="C5" s="1" cm="1">
        <f t="array" aca="1" ref="C5" ca="1">_FV(A5,"Preço")</f>
        <v>14.59</v>
      </c>
      <c r="D5" s="3">
        <v>13.22</v>
      </c>
      <c r="E5" s="2">
        <f t="shared" ca="1" si="0"/>
        <v>0.10363086232980326</v>
      </c>
      <c r="G5" s="3"/>
      <c r="H5" s="1"/>
      <c r="I5" s="1"/>
    </row>
    <row r="6" spans="1:9" x14ac:dyDescent="0.3">
      <c r="A6" t="e" vm="5">
        <v>#VALUE!</v>
      </c>
      <c r="B6" s="2" cm="1">
        <f t="array" aca="1" ref="B6" ca="1">_FV(A6,"Variação (%)",TRUE)</f>
        <v>2.4413000000000001E-2</v>
      </c>
      <c r="C6" s="1" cm="1">
        <f t="array" aca="1" ref="C6" ca="1">_FV(A6,"Preço")</f>
        <v>22.24</v>
      </c>
      <c r="E6" s="2" t="e">
        <f t="shared" ca="1" si="0"/>
        <v>#DIV/0!</v>
      </c>
      <c r="G6" s="3"/>
      <c r="H6" s="1"/>
      <c r="I6" s="1"/>
    </row>
    <row r="7" spans="1:9" x14ac:dyDescent="0.3">
      <c r="A7" t="e" vm="21">
        <v>#VALUE!</v>
      </c>
      <c r="B7" s="2" cm="1">
        <f t="array" aca="1" ref="B7" ca="1">_FV(A7,"Variação (%)",TRUE)</f>
        <v>3.3391999999999998E-2</v>
      </c>
      <c r="C7" s="1" cm="1">
        <f t="array" aca="1" ref="C7" ca="1">_FV(A7,"Preço")</f>
        <v>5.88</v>
      </c>
      <c r="E7" s="2" t="e">
        <f t="shared" ca="1" si="0"/>
        <v>#DIV/0!</v>
      </c>
      <c r="G7" s="3"/>
      <c r="H7" s="1"/>
      <c r="I7" s="1"/>
    </row>
    <row r="8" spans="1:9" x14ac:dyDescent="0.3">
      <c r="A8" t="e" vm="22">
        <v>#VALUE!</v>
      </c>
      <c r="B8" s="2" cm="1">
        <f t="array" aca="1" ref="B8" ca="1">_FV(A8,"Variação (%)",TRUE)</f>
        <v>6.8935999999999997E-2</v>
      </c>
      <c r="C8" s="1" cm="1">
        <f t="array" aca="1" ref="C8" ca="1">_FV(A8,"Preço")</f>
        <v>12.56</v>
      </c>
      <c r="E8" s="2" t="e">
        <f t="shared" ca="1" si="0"/>
        <v>#DIV/0!</v>
      </c>
      <c r="G8" s="3"/>
      <c r="H8" s="1"/>
      <c r="I8" s="1"/>
    </row>
    <row r="9" spans="1:9" x14ac:dyDescent="0.3">
      <c r="A9" t="e" vm="23">
        <v>#VALUE!</v>
      </c>
      <c r="B9" s="2" cm="1">
        <f t="array" aca="1" ref="B9" ca="1">_FV(A9,"Variação (%)",TRUE)</f>
        <v>7.2750000000000002E-3</v>
      </c>
      <c r="C9" s="1" cm="1">
        <f t="array" aca="1" ref="C9" ca="1">_FV(A9,"Preço")</f>
        <v>33.229999999999997</v>
      </c>
      <c r="E9" s="2" t="e">
        <f t="shared" ca="1" si="0"/>
        <v>#DIV/0!</v>
      </c>
      <c r="G9" s="3"/>
      <c r="H9" s="1"/>
      <c r="I9" s="1"/>
    </row>
    <row r="10" spans="1:9" x14ac:dyDescent="0.3">
      <c r="A10" t="e" vm="24">
        <v>#VALUE!</v>
      </c>
      <c r="B10" s="2" cm="1">
        <f t="array" aca="1" ref="B10" ca="1">_FV(A10,"Variação (%)",TRUE)</f>
        <v>1.6105000000000001E-2</v>
      </c>
      <c r="C10" s="1" cm="1">
        <f t="array" aca="1" ref="C10" ca="1">_FV(A10,"Preço")</f>
        <v>13.88</v>
      </c>
      <c r="E10" s="2" t="e">
        <f t="shared" ca="1" si="0"/>
        <v>#DIV/0!</v>
      </c>
      <c r="G10" s="3"/>
      <c r="H10" s="1"/>
      <c r="I10" s="1"/>
    </row>
    <row r="11" spans="1:9" x14ac:dyDescent="0.3">
      <c r="A11" t="e" vm="25">
        <v>#VALUE!</v>
      </c>
      <c r="B11" s="2" cm="1">
        <f t="array" aca="1" ref="B11" ca="1">_FV(A11,"Variação (%)",TRUE)</f>
        <v>1.6222E-2</v>
      </c>
      <c r="C11" s="1" cm="1">
        <f t="array" aca="1" ref="C11" ca="1">_FV(A11,"Preço")</f>
        <v>19.420000000000002</v>
      </c>
      <c r="E11" s="2" t="e">
        <f t="shared" ca="1" si="0"/>
        <v>#DIV/0!</v>
      </c>
      <c r="G11" s="3"/>
      <c r="H11" s="1"/>
      <c r="I11" s="1"/>
    </row>
    <row r="12" spans="1:9" x14ac:dyDescent="0.3">
      <c r="A12" t="e" vm="26">
        <v>#VALUE!</v>
      </c>
      <c r="B12" s="2" cm="1">
        <f t="array" aca="1" ref="B12" ca="1">_FV(A12,"Variação (%)",TRUE)</f>
        <v>1.6049000000000001E-2</v>
      </c>
      <c r="C12" s="1" cm="1">
        <f t="array" aca="1" ref="C12" ca="1">_FV(A12,"Preço")</f>
        <v>59.51</v>
      </c>
      <c r="E12" s="2" t="e">
        <f t="shared" ca="1" si="0"/>
        <v>#DIV/0!</v>
      </c>
      <c r="G12" s="3"/>
      <c r="H12" s="1"/>
      <c r="I12" s="1"/>
    </row>
    <row r="13" spans="1:9" x14ac:dyDescent="0.3">
      <c r="A13" t="e" vm="6">
        <v>#VALUE!</v>
      </c>
      <c r="B13" s="2" cm="1">
        <f t="array" aca="1" ref="B13" ca="1">_FV(A13,"Variação (%)",TRUE)</f>
        <v>5.0629999999999998E-3</v>
      </c>
      <c r="C13" s="1" cm="1">
        <f t="array" aca="1" ref="C13" ca="1">_FV(A13,"Preço")</f>
        <v>7.94</v>
      </c>
      <c r="E13" s="2" t="e">
        <f ca="1">(C13-D13)/D13</f>
        <v>#DIV/0!</v>
      </c>
    </row>
  </sheetData>
  <conditionalFormatting sqref="B2:B1048576">
    <cfRule type="cellIs" dxfId="13" priority="5" operator="lessThan">
      <formula>0</formula>
    </cfRule>
    <cfRule type="cellIs" dxfId="12" priority="6" operator="greaterThan">
      <formula>0.00001</formula>
    </cfRule>
  </conditionalFormatting>
  <conditionalFormatting sqref="E2:E1048576">
    <cfRule type="cellIs" dxfId="11" priority="3" operator="lessThan">
      <formula>0</formula>
    </cfRule>
    <cfRule type="cellIs" dxfId="10" priority="4" operator="greaterThan">
      <formula>0.00001</formula>
    </cfRule>
  </conditionalFormatting>
  <conditionalFormatting sqref="I1:I1048576">
    <cfRule type="cellIs" dxfId="9" priority="1" operator="lessThan">
      <formula>0</formula>
    </cfRule>
  </conditionalFormatting>
  <conditionalFormatting sqref="I2:I1048576">
    <cfRule type="cellIs" dxfId="8" priority="2" operator="greaterThan">
      <formula>0.001</formula>
    </cfRule>
  </conditionalFormatting>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54D3-D38D-44D0-A2A5-F577602AD880}">
  <sheetPr codeName="Planilha4"/>
  <dimension ref="A1:E12"/>
  <sheetViews>
    <sheetView workbookViewId="0">
      <selection activeCell="A6" sqref="A6"/>
    </sheetView>
  </sheetViews>
  <sheetFormatPr defaultRowHeight="14.4" x14ac:dyDescent="0.3"/>
  <cols>
    <col min="1" max="1" width="77.88671875" bestFit="1" customWidth="1"/>
    <col min="2" max="2" width="7.44140625" bestFit="1" customWidth="1"/>
    <col min="3" max="3" width="10.5546875" bestFit="1" customWidth="1"/>
    <col min="4" max="4" width="12.6640625" bestFit="1" customWidth="1"/>
    <col min="5" max="5" width="8.109375" bestFit="1" customWidth="1"/>
  </cols>
  <sheetData>
    <row r="1" spans="1:5" x14ac:dyDescent="0.3">
      <c r="A1" t="s">
        <v>0</v>
      </c>
      <c r="B1" t="s">
        <v>1</v>
      </c>
      <c r="C1" t="s">
        <v>2</v>
      </c>
      <c r="D1" s="3" t="s">
        <v>3</v>
      </c>
      <c r="E1" s="2" t="s">
        <v>4</v>
      </c>
    </row>
    <row r="2" spans="1:5" x14ac:dyDescent="0.3">
      <c r="A2" t="e" vm="27">
        <v>#VALUE!</v>
      </c>
      <c r="B2" s="2" cm="1">
        <f t="array" aca="1" ref="B2" ca="1">_FV(A2,"Variação (%)",TRUE)</f>
        <v>-3.8757E-2</v>
      </c>
      <c r="C2" s="1" cm="1">
        <f t="array" aca="1" ref="C2" ca="1">_FV(A2,"Preço")</f>
        <v>201.14</v>
      </c>
      <c r="D2" s="3"/>
      <c r="E2" s="2" t="e">
        <f t="shared" ref="E2:E12" ca="1" si="0">(C2-D2)/D2</f>
        <v>#DIV/0!</v>
      </c>
    </row>
    <row r="3" spans="1:5" x14ac:dyDescent="0.3">
      <c r="A3" t="e" vm="28">
        <v>#VALUE!</v>
      </c>
      <c r="B3" s="2" cm="1">
        <f t="array" aca="1" ref="B3" ca="1">_FV(A3,"Variação (%)",TRUE)</f>
        <v>2.8755000000000003E-2</v>
      </c>
      <c r="C3" s="1" cm="1">
        <f t="array" aca="1" ref="C3" ca="1">_FV(A3,"Preço")</f>
        <v>383.52</v>
      </c>
      <c r="D3" s="3"/>
      <c r="E3" s="2" t="e">
        <f t="shared" ca="1" si="0"/>
        <v>#DIV/0!</v>
      </c>
    </row>
    <row r="4" spans="1:5" x14ac:dyDescent="0.3">
      <c r="A4" t="e" vm="29">
        <v>#VALUE!</v>
      </c>
      <c r="B4" s="2" cm="1">
        <f t="array" aca="1" ref="B4" ca="1">_FV(A4,"Variação (%)",TRUE)</f>
        <v>-1.8579999999999998E-3</v>
      </c>
      <c r="C4" s="1" cm="1">
        <f t="array" aca="1" ref="C4" ca="1">_FV(A4,"Preço")</f>
        <v>214.94</v>
      </c>
      <c r="D4" s="3"/>
      <c r="E4" s="2" t="e">
        <f t="shared" ca="1" si="0"/>
        <v>#DIV/0!</v>
      </c>
    </row>
    <row r="5" spans="1:5" x14ac:dyDescent="0.3">
      <c r="A5" t="e" vm="7">
        <v>#VALUE!</v>
      </c>
      <c r="B5" s="2" cm="1">
        <f t="array" aca="1" ref="B5" ca="1">_FV(A5,"Variação (%)",TRUE)</f>
        <v>1.6431000000000001E-2</v>
      </c>
      <c r="C5" s="1" cm="1">
        <f t="array" aca="1" ref="C5" ca="1">_FV(A5,"Preço")</f>
        <v>64.055000000000007</v>
      </c>
      <c r="D5" s="3"/>
      <c r="E5" s="2" t="e">
        <f t="shared" ca="1" si="0"/>
        <v>#DIV/0!</v>
      </c>
    </row>
    <row r="6" spans="1:5" x14ac:dyDescent="0.3">
      <c r="B6" s="2" t="e" cm="1" vm="30">
        <f t="array" ref="B6">_FV(A6,"Variação (%)",TRUE)</f>
        <v>#VALUE!</v>
      </c>
      <c r="C6" s="1" t="e" cm="1" vm="31">
        <f t="array" ref="C6">_FV(A6,"Preço")</f>
        <v>#VALUE!</v>
      </c>
      <c r="D6" s="3"/>
      <c r="E6" s="2" t="e" vm="32">
        <f t="shared" si="0"/>
        <v>#VALUE!</v>
      </c>
    </row>
    <row r="7" spans="1:5" x14ac:dyDescent="0.3">
      <c r="B7" s="2" t="e" cm="1" vm="30">
        <f t="array" ref="B7">_FV(A7,"Variação (%)",TRUE)</f>
        <v>#VALUE!</v>
      </c>
      <c r="C7" s="1" t="e" cm="1" vm="31">
        <f t="array" ref="C7">_FV(A7,"Preço")</f>
        <v>#VALUE!</v>
      </c>
      <c r="D7" s="3"/>
      <c r="E7" s="2" t="e" vm="32">
        <f t="shared" si="0"/>
        <v>#VALUE!</v>
      </c>
    </row>
    <row r="8" spans="1:5" x14ac:dyDescent="0.3">
      <c r="B8" s="2" t="e" cm="1" vm="30">
        <f t="array" ref="B8">_FV(A8,"Variação (%)",TRUE)</f>
        <v>#VALUE!</v>
      </c>
      <c r="C8" s="1" t="e" cm="1" vm="31">
        <f t="array" ref="C8">_FV(A8,"Preço")</f>
        <v>#VALUE!</v>
      </c>
      <c r="D8" s="3"/>
      <c r="E8" s="2" t="e" vm="32">
        <f t="shared" si="0"/>
        <v>#VALUE!</v>
      </c>
    </row>
    <row r="9" spans="1:5" x14ac:dyDescent="0.3">
      <c r="B9" s="2" t="e" cm="1" vm="30">
        <f t="array" ref="B9">_FV(A9,"Variação (%)",TRUE)</f>
        <v>#VALUE!</v>
      </c>
      <c r="C9" s="1" t="e" cm="1" vm="31">
        <f t="array" ref="C9">_FV(A9,"Preço")</f>
        <v>#VALUE!</v>
      </c>
      <c r="D9" s="3"/>
      <c r="E9" s="2" t="e" vm="32">
        <f t="shared" si="0"/>
        <v>#VALUE!</v>
      </c>
    </row>
    <row r="10" spans="1:5" x14ac:dyDescent="0.3">
      <c r="B10" s="2" t="e" cm="1" vm="30">
        <f t="array" ref="B10">_FV(A10,"Variação (%)",TRUE)</f>
        <v>#VALUE!</v>
      </c>
      <c r="C10" s="1" t="e" cm="1" vm="31">
        <f t="array" ref="C10">_FV(A10,"Preço")</f>
        <v>#VALUE!</v>
      </c>
      <c r="D10" s="3"/>
      <c r="E10" s="2" t="e" vm="32">
        <f t="shared" si="0"/>
        <v>#VALUE!</v>
      </c>
    </row>
    <row r="11" spans="1:5" x14ac:dyDescent="0.3">
      <c r="B11" s="2" t="e" cm="1" vm="30">
        <f t="array" ref="B11">_FV(A11,"Variação (%)",TRUE)</f>
        <v>#VALUE!</v>
      </c>
      <c r="C11" s="1" t="e" cm="1" vm="31">
        <f t="array" ref="C11">_FV(A11,"Preço")</f>
        <v>#VALUE!</v>
      </c>
      <c r="D11" s="3"/>
      <c r="E11" s="2" t="e" vm="32">
        <f t="shared" si="0"/>
        <v>#VALUE!</v>
      </c>
    </row>
    <row r="12" spans="1:5" x14ac:dyDescent="0.3">
      <c r="B12" s="2" t="e" cm="1" vm="30">
        <f t="array" ref="B12">_FV(A12,"Variação (%)",TRUE)</f>
        <v>#VALUE!</v>
      </c>
      <c r="C12" s="1" t="e" cm="1" vm="31">
        <f t="array" ref="C12">_FV(A12,"Preço")</f>
        <v>#VALUE!</v>
      </c>
      <c r="D12" s="3"/>
      <c r="E12" s="2" t="e" vm="32">
        <f t="shared" si="0"/>
        <v>#VALUE!</v>
      </c>
    </row>
  </sheetData>
  <conditionalFormatting sqref="B2:B12">
    <cfRule type="cellIs" dxfId="7" priority="3" operator="lessThan">
      <formula>0</formula>
    </cfRule>
    <cfRule type="cellIs" dxfId="6" priority="4" operator="greaterThan">
      <formula>0.00001</formula>
    </cfRule>
  </conditionalFormatting>
  <conditionalFormatting sqref="E2:E12">
    <cfRule type="cellIs" dxfId="5" priority="1" operator="lessThan">
      <formula>0</formula>
    </cfRule>
    <cfRule type="cellIs" dxfId="4" priority="2" operator="greaterThan">
      <formula>0.00001</formula>
    </cfRule>
  </conditionalFormatting>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1DB76-7309-415F-AA5A-99F20F2ABA29}">
  <sheetPr codeName="Planilha5"/>
  <dimension ref="A1:C5"/>
  <sheetViews>
    <sheetView tabSelected="1" workbookViewId="0">
      <selection activeCell="I15" sqref="I15"/>
    </sheetView>
  </sheetViews>
  <sheetFormatPr defaultRowHeight="14.4" x14ac:dyDescent="0.3"/>
  <cols>
    <col min="1" max="1" width="10.6640625" bestFit="1" customWidth="1"/>
  </cols>
  <sheetData>
    <row r="1" spans="1:3" x14ac:dyDescent="0.3">
      <c r="A1" t="s">
        <v>5</v>
      </c>
      <c r="B1" t="s">
        <v>1</v>
      </c>
      <c r="C1" t="s">
        <v>6</v>
      </c>
    </row>
    <row r="2" spans="1:3" x14ac:dyDescent="0.3">
      <c r="A2" t="e" vm="33">
        <v>#VALUE!</v>
      </c>
      <c r="B2" s="2" cm="1">
        <f t="array" aca="1" ref="B2" ca="1">_FV(A2,"Variação (%)",TRUE)</f>
        <v>-8.4069999999999995E-3</v>
      </c>
      <c r="C2" s="1" cm="1">
        <f t="array" aca="1" ref="C2" ca="1">_FV(A2,"Preço")</f>
        <v>4.9539999999999997</v>
      </c>
    </row>
    <row r="3" spans="1:3" x14ac:dyDescent="0.3">
      <c r="A3" t="e" vm="34">
        <v>#VALUE!</v>
      </c>
      <c r="B3" s="2" cm="1">
        <f t="array" aca="1" ref="B3" ca="1">_FV(A3,"Variação (%)",TRUE)</f>
        <v>-3.1199999999999999E-3</v>
      </c>
      <c r="C3" s="1" cm="1">
        <f t="array" aca="1" ref="C3" ca="1">_FV(A3,"Preço")</f>
        <v>5.8155999999999999</v>
      </c>
    </row>
    <row r="4" spans="1:3" x14ac:dyDescent="0.3">
      <c r="A4" t="e" vm="35">
        <v>#VALUE!</v>
      </c>
      <c r="B4" s="2" cm="1">
        <f t="array" aca="1" ref="B4" ca="1">_FV(A4,"Variação (%)",TRUE)</f>
        <v>-6.8450000000000004E-3</v>
      </c>
      <c r="C4" s="1" cm="1">
        <f t="array" aca="1" ref="C4" ca="1">_FV(A4,"Preço")</f>
        <v>0.72550000000000003</v>
      </c>
    </row>
    <row r="5" spans="1:3" x14ac:dyDescent="0.3">
      <c r="A5" t="e" vm="36">
        <v>#VALUE!</v>
      </c>
      <c r="B5" s="2" cm="1">
        <f t="array" aca="1" ref="B5" ca="1">_FV(A5,"Variação (%)",TRUE)</f>
        <v>1.6189999999999998E-3</v>
      </c>
      <c r="C5" s="1" cm="1">
        <f t="array" aca="1" ref="C5" ca="1">_FV(A5,"Preço")</f>
        <v>6.742</v>
      </c>
    </row>
  </sheetData>
  <conditionalFormatting sqref="B2:B1048576">
    <cfRule type="cellIs" dxfId="3" priority="1" operator="lessThan">
      <formula>0</formula>
    </cfRule>
    <cfRule type="cellIs" dxfId="2" priority="2" operator="greaterThan">
      <formula>0.01</formula>
    </cfRule>
  </conditionalFormatting>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1452-83FA-40BA-9714-9DCA5C7F9748}">
  <dimension ref="A1:F6"/>
  <sheetViews>
    <sheetView workbookViewId="0">
      <selection activeCell="F6" sqref="F6"/>
    </sheetView>
  </sheetViews>
  <sheetFormatPr defaultRowHeight="14.4" x14ac:dyDescent="0.3"/>
  <cols>
    <col min="1" max="1" width="17.6640625" bestFit="1" customWidth="1"/>
    <col min="2" max="2" width="9.6640625" bestFit="1" customWidth="1"/>
    <col min="3" max="4" width="15.21875" bestFit="1" customWidth="1"/>
    <col min="5" max="5" width="14" bestFit="1" customWidth="1"/>
    <col min="6" max="6" width="12.109375" bestFit="1" customWidth="1"/>
  </cols>
  <sheetData>
    <row r="1" spans="1:6" x14ac:dyDescent="0.3">
      <c r="A1" s="55" t="s">
        <v>20</v>
      </c>
      <c r="B1" s="55" t="s">
        <v>21</v>
      </c>
      <c r="C1" s="55" t="s">
        <v>8</v>
      </c>
      <c r="D1" s="55" t="s">
        <v>9</v>
      </c>
      <c r="E1" s="55" t="s">
        <v>10</v>
      </c>
      <c r="F1" s="55" t="s">
        <v>22</v>
      </c>
    </row>
    <row r="2" spans="1:6" x14ac:dyDescent="0.3">
      <c r="A2" s="56" t="s">
        <v>23</v>
      </c>
      <c r="B2" s="56">
        <f>'CARTEIRA RENATO'!B7</f>
        <v>5</v>
      </c>
      <c r="C2" s="60">
        <f>SUM('CARTEIRA RENATO'!I2:I6)</f>
        <v>2671.8200000000006</v>
      </c>
      <c r="D2" s="60">
        <f ca="1">SUM('CARTEIRA RENATO'!J2:J6)</f>
        <v>2509.5100000000002</v>
      </c>
      <c r="E2" s="60">
        <f ca="1">SUM('CARTEIRA RENATO'!K2:K6)</f>
        <v>-162.31</v>
      </c>
      <c r="F2" s="57">
        <f ca="1">IFERROR(E2/C2,"")</f>
        <v>-6.0748852841883048E-2</v>
      </c>
    </row>
    <row r="3" spans="1:6" x14ac:dyDescent="0.3">
      <c r="A3" s="56" t="s">
        <v>24</v>
      </c>
      <c r="B3" s="56">
        <f>'CARTEIRA RENATO'!B15</f>
        <v>1</v>
      </c>
      <c r="C3" s="59">
        <f>'CARTEIRA RENATO'!I14</f>
        <v>1293.3900000000001</v>
      </c>
      <c r="D3" s="60">
        <f ca="1">'CARTEIRA RENATO'!J14*CAMBIO!C2</f>
        <v>6418.9742369998994</v>
      </c>
      <c r="E3" s="60">
        <f ca="1">'CARTEIRA RENATO'!K14*CAMBIO!C2</f>
        <v>11.520176999899613</v>
      </c>
      <c r="F3" s="57">
        <f ca="1">IFERROR('CARTEIRA RENATO'!K15/'CARTEIRA RENATO'!I14,"")</f>
        <v>1.7979336085789453E-3</v>
      </c>
    </row>
    <row r="4" spans="1:6" x14ac:dyDescent="0.3">
      <c r="A4" s="56" t="s">
        <v>25</v>
      </c>
      <c r="B4" s="56">
        <f>'CARTEIRA RENATO'!B27</f>
        <v>7</v>
      </c>
      <c r="C4" s="59">
        <f>SUM('CARTEIRA RENATO'!I20:I26)</f>
        <v>836.37710000000004</v>
      </c>
      <c r="D4" s="60">
        <f ca="1">SUM('CARTEIRA RENATO'!J20:J26)*CAMBIO!C2</f>
        <v>4218.744659</v>
      </c>
      <c r="E4" s="60">
        <f ca="1">'CARTEIRA RENATO'!K27*CAMBIO!C2</f>
        <v>75.332505599999877</v>
      </c>
      <c r="F4" s="57">
        <f ca="1">IFERROR('CARTEIRA RENATO'!K27/SUM('CARTEIRA RENATO'!I20:I26),"")</f>
        <v>1.8181272538427912E-2</v>
      </c>
    </row>
    <row r="5" spans="1:6" x14ac:dyDescent="0.3">
      <c r="A5" s="56" t="s">
        <v>26</v>
      </c>
      <c r="B5" s="56">
        <f>'CARTEIRA RENATO'!B37</f>
        <v>6</v>
      </c>
      <c r="C5" s="60">
        <f>'CARTEIRA RENATO'!I37</f>
        <v>896.5</v>
      </c>
      <c r="D5" s="60">
        <f ca="1">'CARTEIRA RENATO'!J37</f>
        <v>843.09999999999991</v>
      </c>
      <c r="E5" s="60">
        <f ca="1">'CARTEIRA RENATO'!K37</f>
        <v>-53.400000000000034</v>
      </c>
      <c r="F5" s="57">
        <f ca="1">IFERROR(E5/C5,"")</f>
        <v>-5.9564974902398253E-2</v>
      </c>
    </row>
    <row r="6" spans="1:6" x14ac:dyDescent="0.3">
      <c r="A6" s="55" t="s">
        <v>27</v>
      </c>
      <c r="B6" s="55">
        <f>SUM(B2:B5)</f>
        <v>19</v>
      </c>
      <c r="C6" s="61">
        <f ca="1">C2+C5+(C3+C4)*CAMBIO!C2</f>
        <v>14119.1862134</v>
      </c>
      <c r="D6" s="61">
        <f ca="1">SUM(D2:D5)</f>
        <v>13990.328895999899</v>
      </c>
      <c r="E6" s="61">
        <f ca="1">SUM(E2:E5)</f>
        <v>-128.85731740010056</v>
      </c>
      <c r="F6" s="58">
        <f ca="1">IF(C6=0,0,E6/C6)</f>
        <v>-9.1263983244166593E-3</v>
      </c>
    </row>
  </sheetData>
  <conditionalFormatting sqref="F2:F6">
    <cfRule type="cellIs" dxfId="1" priority="1" operator="greaterThanOrEqual">
      <formula>0</formula>
    </cfRule>
    <cfRule type="cellIs" dxfId="0" priority="2" operator="lessThan">
      <formula>0</formula>
    </cfRule>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MINHA CARTEIRA</vt:lpstr>
      <vt:lpstr>CARTEIRA RENATO</vt:lpstr>
      <vt:lpstr>DIVIDENDOS</vt:lpstr>
      <vt:lpstr>B3</vt:lpstr>
      <vt:lpstr>USD</vt:lpstr>
      <vt:lpstr>CAMBIO</vt:lpstr>
      <vt:lpstr>RESUMO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renato macario</dc:creator>
  <cp:lastModifiedBy>renato macario</cp:lastModifiedBy>
  <cp:lastPrinted>2026-04-10T19:13:51Z</cp:lastPrinted>
  <dcterms:created xsi:type="dcterms:W3CDTF">2026-04-10T13:21:31Z</dcterms:created>
  <dcterms:modified xsi:type="dcterms:W3CDTF">2026-04-30T19:13:25Z</dcterms:modified>
</cp:coreProperties>
</file>